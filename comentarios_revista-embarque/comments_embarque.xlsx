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mc:AlternateContent xmlns:mc="http://schemas.openxmlformats.org/markup-compatibility/2006">
    <mc:Choice Requires="x15">
      <x15ac:absPath xmlns:x15ac="http://schemas.microsoft.com/office/spreadsheetml/2010/11/ac" url="C:\Users\win\Desktop\0_Analise_Sentimentos\0_COMENTARIOS_REV_EMBARQUE\comentarios-2_embarque\"/>
    </mc:Choice>
  </mc:AlternateContent>
  <xr:revisionPtr revIDLastSave="0" documentId="13_ncr:1_{035828BF-D66C-4D44-8B4B-6B7DC4DA346B}"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11" i="1" l="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alcChain>
</file>

<file path=xl/sharedStrings.xml><?xml version="1.0" encoding="utf-8"?>
<sst xmlns="http://schemas.openxmlformats.org/spreadsheetml/2006/main" count="6555" uniqueCount="3001">
  <si>
    <t>ID do usuário</t>
  </si>
  <si>
    <t>Nome de usuário</t>
  </si>
  <si>
    <t>ID do comentário</t>
  </si>
  <si>
    <t>Comente</t>
  </si>
  <si>
    <t>Hora dos comentários</t>
  </si>
  <si>
    <t>Página inicial do usuário</t>
  </si>
  <si>
    <t>URL do avatar</t>
  </si>
  <si>
    <t>betinicomunica</t>
  </si>
  <si>
    <t>😍</t>
  </si>
  <si>
    <t>14/04/2020, 22:30:39</t>
  </si>
  <si>
    <t>https://www.instagram.com/betinicomunica</t>
  </si>
  <si>
    <t>https://instagram.fcgh5-2.fna.fbcdn.net/v/t51.82787-19/641220762_18142682695486321_4251311393691894565_n.jpg?stp=dst-jpg_s150x150_tt6&amp;efg=eyJ2ZW5jb2RlX3RhZyI6InByb2ZpbGVfcGljLmRqYW5nby4xMDgwLmMyIn0&amp;_nc_ht=instagram.fcgh5-2.fna.fbcdn.net&amp;_nc_cat=101&amp;_nc_oc=Q6cZ2gGbW09fen9X3NGBIxrFjTH4CZJ8eJvofJ7pRNwkSjFUcZg5cmTWz6xAnmKjuxFZb3QKu5C_fMzNA3skhvBM-CWq&amp;_nc_ohc=0zlJWmojGFQQ7kNvwEJW9n4&amp;_nc_gid=nMKOMxVWXrGAMhkFEUNHMg&amp;edm=AI-cjbYBAAAA&amp;ccb=7-5&amp;oh=00_Af2pjfXfZCnM5Whpqcxl27pAKBz5QUMMnQtxxhdGAztqtg&amp;oe=69D8C3C1&amp;_nc_sid=0985b0</t>
  </si>
  <si>
    <t>juliorosareal</t>
  </si>
  <si>
    <t>🙌</t>
  </si>
  <si>
    <t>14/04/2020, 22:47:03</t>
  </si>
  <si>
    <t>https://www.instagram.com/juliorosareal</t>
  </si>
  <si>
    <t>https://instagram.fcgh5-2.fna.fbcdn.net/v/t51.82787-19/652804470_18571361782002438_3293990715334296843_n.jpg?stp=dst-jpg_s150x150_tt6&amp;efg=eyJ2ZW5jb2RlX3RhZyI6InByb2ZpbGVfcGljLmRqYW5nby4xMDgwLmMyIn0&amp;_nc_ht=instagram.fcgh5-2.fna.fbcdn.net&amp;_nc_cat=106&amp;_nc_oc=Q6cZ2gGbW09fen9X3NGBIxrFjTH4CZJ8eJvofJ7pRNwkSjFUcZg5cmTWz6xAnmKjuxFZb3QKu5C_fMzNA3skhvBM-CWq&amp;_nc_ohc=nLvZJPSsQLcQ7kNvwHyyo3m&amp;_nc_gid=nMKOMxVWXrGAMhkFEUNHMg&amp;edm=AI-cjbYBAAAA&amp;ccb=7-5&amp;oh=00_Af3jM3AOk9owgm_oZYxJUcizGY6zgOYUiGmBtcz5Q_Og-w&amp;oe=69D8BFBC&amp;_nc_sid=0985b0</t>
  </si>
  <si>
    <t>cervanacaneca</t>
  </si>
  <si>
    <t>👍🏻👍🏻👍🏻</t>
  </si>
  <si>
    <t>14/04/2020, 22:51:50</t>
  </si>
  <si>
    <t>https://www.instagram.com/cervanacaneca</t>
  </si>
  <si>
    <t>https://instagram.fcgh5-1.fna.fbcdn.net/v/t51.2885-19/13117872_1617751225212741_1774125751_a.jpg?stp=dst-jpg_s150x150_tt6&amp;efg=eyJ2ZW5jb2RlX3RhZyI6InByb2ZpbGVfcGljLmRqYW5nby4xMDgwLmMyIn0&amp;_nc_ht=instagram.fcgh5-1.fna.fbcdn.net&amp;_nc_cat=109&amp;_nc_oc=Q6cZ2gGbW09fen9X3NGBIxrFjTH4CZJ8eJvofJ7pRNwkSjFUcZg5cmTWz6xAnmKjuxFZb3QKu5C_fMzNA3skhvBM-CWq&amp;_nc_ohc=g8Bnwr_3t9YQ7kNvwGVmkHX&amp;_nc_gid=nMKOMxVWXrGAMhkFEUNHMg&amp;edm=AI-cjbYBAAAA&amp;ccb=7-5&amp;oh=00_Af3z-oPW18P1KJIoqIQSneI3vEu-fH0iB34gXfy4H50_7Q&amp;oe=69D8BD0E&amp;_nc_sid=0985b0</t>
  </si>
  <si>
    <t>gilsoareseventos</t>
  </si>
  <si>
    <t>👏👏</t>
  </si>
  <si>
    <t>14/04/2020, 23:16:18</t>
  </si>
  <si>
    <t>https://www.instagram.com/gilsoareseventos</t>
  </si>
  <si>
    <t>https://instagram.fcgh5-2.fna.fbcdn.net/v/t51.2885-19/17596101_1657905294518376_6506864196330717184_a.jpg?stp=dst-jpg_s150x150_tt6&amp;efg=eyJ2ZW5jb2RlX3RhZyI6InByb2ZpbGVfcGljLmRqYW5nby4yMDMuYzIifQ&amp;_nc_ht=instagram.fcgh5-2.fna.fbcdn.net&amp;_nc_cat=100&amp;_nc_oc=Q6cZ2gGbW09fen9X3NGBIxrFjTH4CZJ8eJvofJ7pRNwkSjFUcZg5cmTWz6xAnmKjuxFZb3QKu5C_fMzNA3skhvBM-CWq&amp;_nc_ohc=MlS9bwjDLdMQ7kNvwEeAxXu&amp;_nc_gid=nMKOMxVWXrGAMhkFEUNHMg&amp;edm=AI-cjbYBAAAA&amp;ccb=7-5&amp;oh=00_Af1EF_U6FL29NJhVi_zmTkTOr3uj93vHxD-7nYzSlHAyYw&amp;oe=69D8A4B8&amp;_nc_sid=0985b0</t>
  </si>
  <si>
    <t>mauricio_alcantara_pdc</t>
  </si>
  <si>
    <t>É vc @thatianagurgel  na foto ?</t>
  </si>
  <si>
    <t>08/04/2020, 20:55:04</t>
  </si>
  <si>
    <t>https://www.instagram.com/mauricio_alcantara_pdc</t>
  </si>
  <si>
    <t>https://instagram.fcgh5-2.fna.fbcdn.net/v/t51.2885-19/82578511_160863372019071_3476088882884247552_n.jpg?stp=dst-jpg_s150x150_tt6&amp;efg=eyJ2ZW5jb2RlX3RhZyI6InByb2ZpbGVfcGljLmRqYW5nby4xMDgwLmMyIn0&amp;_nc_ht=instagram.fcgh5-2.fna.fbcdn.net&amp;_nc_cat=103&amp;_nc_oc=Q6cZ2gFkF42fmQnH7ymEz2iGsRZSZYYlDdXyT1vIESWpVnOxSZ5wRtUM_XM5zvjzOO4eKpEfJ1O7eXFJlVuBjv7bcJ4d&amp;_nc_ohc=74v6XFHD3sQQ7kNvwFraBQb&amp;_nc_gid=3QbPELQo6YG1CHj_HsJhfQ&amp;edm=AI-cjbYBAAAA&amp;ccb=7-5&amp;oh=00_Af02h4CKjkKs5ap4cnQbovLUWsy8DdVT4CeTvObsEtWhSA&amp;oe=69D8C735&amp;_nc_sid=0985b0</t>
  </si>
  <si>
    <t>https://instagram.fcgh5-2.fna.fbcdn.net/v/t51.2885-19/82578511_160863372019071_3476088882884247552_n.jpg?stp=dst-jpg_s150x150_tt6&amp;efg=eyJ2ZW5jb2RlX3RhZyI6InByb2ZpbGVfcGljLmRqYW5nby4xMDgwLmMyIn0&amp;_nc_ht=instagram.fcgh5-2.fna.fbcdn.net&amp;_nc_cat=103&amp;_nc_oc=Q6cZ2gHKwXzHlurtf13dNlyfGeBl9qm1MRBxEX0EW7vLnnSDNZspFUXTpFcyz9s81vQktZ-fQNL_7Izj7MaBeha5E0b4&amp;_nc_ohc=74v6XFHD3sQQ7kNvwFraBQb&amp;_nc_gid=jBGMOU_TjUjqiX3nLX-B3Q&amp;edm=AI-cjbYBAAAA&amp;ccb=7-5&amp;oh=00_Af1JPocV6n1RXDaDgYLJJShwGjR0ZNWPbJXFvcUhl7ud_g&amp;oe=69D8C735&amp;_nc_sid=0985b0</t>
  </si>
  <si>
    <t>👏.👏🏻</t>
  </si>
  <si>
    <t>14/04/2020, 23:35:15</t>
  </si>
  <si>
    <t>https://instagram.fcgh5-2.fna.fbcdn.net/v/t51.2885-19/17596101_1657905294518376_6506864196330717184_a.jpg?stp=dst-jpg_s150x150_tt6&amp;efg=eyJ2ZW5jb2RlX3RhZyI6InByb2ZpbGVfcGljLmRqYW5nby4yMDMuYzIifQ&amp;_nc_ht=instagram.fcgh5-2.fna.fbcdn.net&amp;_nc_cat=100&amp;_nc_oc=Q6cZ2gGH2xuacymJTl90gT2RZzNzgmm2gyYPVeukvVuvJbJ-IWvxCcJOppbi7549BUVs1Je4lelvBoG04706jkK1d3ct&amp;_nc_ohc=MlS9bwjDLdMQ7kNvwEeAxXu&amp;_nc_gid=s2ASJNtohaWtVnrO4B2rpA&amp;edm=AI-cjbYBAAAA&amp;ccb=7-5&amp;oh=00_Af2WGhwIQpbvQyJZJoQeyPdb2B5WtF9figGAeqkIggsDYQ&amp;oe=69D8A4B8&amp;_nc_sid=0985b0</t>
  </si>
  <si>
    <t>https://instagram.fcgh5-2.fna.fbcdn.net/v/t51.2885-19/17596101_1657905294518376_6506864196330717184_a.jpg?stp=dst-jpg_s150x150_tt6&amp;efg=eyJ2ZW5jb2RlX3RhZyI6InByb2ZpbGVfcGljLmRqYW5nby4yMDMuYzIifQ&amp;_nc_ht=instagram.fcgh5-2.fna.fbcdn.net&amp;_nc_cat=100&amp;_nc_oc=Q6cZ2gG4HXImifKLkUHP2nUGh6A0uy_cigTanVRqd3gEyFZcBf6XHetqMfQOGPZd4Q2IhRcL2zZR3RUZXTv-o9lbCqYV&amp;_nc_ohc=MlS9bwjDLdMQ7kNvwEeAxXu&amp;_nc_gid=PUEY-w3P8Efdm3VIbdDiRA&amp;edm=AI-cjbYBAAAA&amp;ccb=7-5&amp;oh=00_Af368oxzd-uh6MKoFdY2kBpzGuoBux_PY4JBERdxQEJ0EQ&amp;oe=69D8A4B8&amp;_nc_sid=0985b0</t>
  </si>
  <si>
    <t>antoniatelice</t>
  </si>
  <si>
    <t>Parabéns!</t>
  </si>
  <si>
    <t>21/08/2019, 21:47:24</t>
  </si>
  <si>
    <t>https://www.instagram.com/antoniatelice</t>
  </si>
  <si>
    <t>https://instagram.fcgh5-2.fna.fbcdn.net/v/t51.2885-19/174867482_464866774846068_1811294592962963208_n.jpg?stp=dst-jpg_s150x150_tt6&amp;efg=eyJ2ZW5jb2RlX3RhZyI6InByb2ZpbGVfcGljLmRqYW5nby4xMDgwLmMyIn0&amp;_nc_ht=instagram.fcgh5-2.fna.fbcdn.net&amp;_nc_cat=100&amp;_nc_oc=Q6cZ2gHu5-5fC-4r6hNXL9Izuy3FMOeFIjOBaaJ7QHLJGnn-0GAm8CVZ8wB7MTQFsfUIfXNQ5xogLPmiYtklFs5Ed46R&amp;_nc_ohc=3N7Bi16Jjk8Q7kNvwF107gt&amp;_nc_gid=IVCiZDW-NZ9WweDnuVInIg&amp;edm=AI-cjbYBAAAA&amp;ccb=7-5&amp;oh=00_Af0PmZkUtK0Ybxx1A5VPuuLgs9CWuKwv6U61j2sRG_nAPg&amp;oe=69D8B482&amp;_nc_sid=0985b0</t>
  </si>
  <si>
    <t>mireillemello</t>
  </si>
  <si>
    <t>Perfeita😍amei👏👏👏</t>
  </si>
  <si>
    <t>12/01/2020, 16:24:37</t>
  </si>
  <si>
    <t>https://www.instagram.com/mireillemello</t>
  </si>
  <si>
    <t>https://instagram.fcgh5-1.fna.fbcdn.net/v/t51.2885-19/136389107_155638806059708_7658459731294430847_n.jpg?stp=dst-jpg_s150x150_tt6&amp;efg=eyJ2ZW5jb2RlX3RhZyI6InByb2ZpbGVfcGljLmRqYW5nby4xMDc5LmMyIn0&amp;_nc_ht=instagram.fcgh5-1.fna.fbcdn.net&amp;_nc_cat=108&amp;_nc_oc=Q6cZ2gFHfGfP4b4aKsQ0qiFc4oKmd3To7hxv1zzieZptSoOEqIiZUwFBBZphfSAi1JWFvYLymsHYZNWOf_cjm7t7WurH&amp;_nc_ohc=-SYrh1GaEZAQ7kNvwHdJ9LX&amp;_nc_gid=VM84ednCaEdKzbgH-qfQHw&amp;edm=AI-cjbYBAAAA&amp;ccb=7-5&amp;oh=00_Af3pDYHncoO3JDJX1wR80JiMe0RAjjP9_L0F4tfhv0XSqw&amp;oe=69D8AA38&amp;_nc_sid=0985b0</t>
  </si>
  <si>
    <t>https://instagram.fcgh5-1.fna.fbcdn.net/v/t51.2885-19/136389107_155638806059708_7658459731294430847_n.jpg?stp=dst-jpg_s150x150_tt6&amp;efg=eyJ2ZW5jb2RlX3RhZyI6InByb2ZpbGVfcGljLmRqYW5nby4xMDc5LmMyIn0&amp;_nc_ht=instagram.fcgh5-1.fna.fbcdn.net&amp;_nc_cat=108&amp;_nc_oc=Q6cZ2gFLBuqebfzwyiJUJ5CTkHV6hNQSbalRXtQNT6bum1p1Wp7t0w5f0RPSqmCvdVbiCwBRR7OXkF9gSGEIxUCdIjK1&amp;_nc_ohc=-SYrh1GaEZAQ7kNvwHdJ9LX&amp;_nc_gid=In_uTNYqbllf021yUzE2UQ&amp;edm=AI-cjbYBAAAA&amp;ccb=7-5&amp;oh=00_Af2t0007T39_SEGipurKvo4xI3GoIH1IwOY-OOS3Z6YU_g&amp;oe=69D8AA38&amp;_nc_sid=0985b0</t>
  </si>
  <si>
    <t>agenciavisionbrazil</t>
  </si>
  <si>
    <t>Me chama no direct!!</t>
  </si>
  <si>
    <t>11/02/2020, 14:56:57</t>
  </si>
  <si>
    <t>https://www.instagram.com/agenciavisionbrazil</t>
  </si>
  <si>
    <t>https://instagram.fcgh5-2.fna.fbcdn.net/v/t51.2885-19/74577646_488188998445960_6361887158642409472_n.jpg?stp=dst-jpg_s150x150_tt6&amp;efg=eyJ2ZW5jb2RlX3RhZyI6InByb2ZpbGVfcGljLmRqYW5nby4xMDYxLmMyIn0&amp;_nc_ht=instagram.fcgh5-2.fna.fbcdn.net&amp;_nc_cat=104&amp;_nc_oc=Q6cZ2gHpxB7uD9Q6nlU-wW13jSYL9DfK39ghtLqzFsp4V0edKXYuZiylLV25YkUtRykLdB4-y8NIhs-j6sbX7kcsE7r3&amp;_nc_ohc=FdemQF62ewsQ7kNvwExdvo6&amp;_nc_gid=1XzycNF3f0stOPWREGSHxw&amp;edm=AI-cjbYBAAAA&amp;ccb=7-5&amp;oh=00_Af3uJZ3YHZUlZ9-lcY_I0QdLAfOAdz9dBD7wxo235SO3Fw&amp;oe=69D8A69F&amp;_nc_sid=0985b0</t>
  </si>
  <si>
    <t>https://instagram.fcgh5-2.fna.fbcdn.net/v/t51.2885-19/74577646_488188998445960_6361887158642409472_n.jpg?stp=dst-jpg_s150x150_tt6&amp;efg=eyJ2ZW5jb2RlX3RhZyI6InByb2ZpbGVfcGljLmRqYW5nby4xMDYxLmMyIn0&amp;_nc_ht=instagram.fcgh5-2.fna.fbcdn.net&amp;_nc_cat=104&amp;_nc_oc=Q6cZ2gEOOKC6iOFX_8YRTqq4zSnaAuJUpOrYPnmCNXkM53lL7egE-mDbE24dsXoIDbqUxLVmhT5plkaa3rs9zsCC-FAq&amp;_nc_ohc=FdemQF62ewsQ7kNvwExdvo6&amp;_nc_gid=Z20RwpBU3-LsAO_zsqjBfw&amp;edm=AI-cjbYBAAAA&amp;ccb=7-5&amp;oh=00_Af1b5nMOD6ze4e_VEIdXRNOU3hFKTKPwyBMcNZQIlRJQKQ&amp;oe=69D8A69F&amp;_nc_sid=0985b0</t>
  </si>
  <si>
    <t>frugal_wanderlust</t>
  </si>
  <si>
    <t>Check out my profile and get great travel coupons ✌</t>
  </si>
  <si>
    <t>22/10/2017, 08:35:53</t>
  </si>
  <si>
    <t>https://www.instagram.com/frugal_wanderlust</t>
  </si>
  <si>
    <t>https://instagram.fcgh5-2.fna.fbcdn.net/v/t51.2885-19/28765942_229959150893775_1166301440130416640_n.jpg?stp=dst-jpg_s150x150_tt6&amp;efg=eyJ2ZW5jb2RlX3RhZyI6InByb2ZpbGVfcGljLmRqYW5nby44MDQuYzIifQ&amp;_nc_ht=instagram.fcgh5-2.fna.fbcdn.net&amp;_nc_cat=103&amp;_nc_oc=Q6cZ2gHDNUYQqDEbcBuQk-w57yb6--byLo5pM3f0mjwL99y2v8ONxsYxq3NkRaUiX58SlgLfr0UPUaA1QzC-hza7Bw_0&amp;_nc_ohc=9G2lurQlSsEQ7kNvwHtXPtg&amp;_nc_gid=NjLfSzW5J_fLAFZIFAf8Qg&amp;edm=AI-cjbYBAAAA&amp;ccb=7-5&amp;oh=00_Af02XYJgVVtBItdwy2U1UvIp5hyRABnQvL1mFVONDMnezw&amp;oe=69D8EE04&amp;_nc_sid=0985b0</t>
  </si>
  <si>
    <t>beautifullifestyleonline</t>
  </si>
  <si>
    <t>💕</t>
  </si>
  <si>
    <t>13/10/2017, 06:12:31</t>
  </si>
  <si>
    <t>https://www.instagram.com/beautifullifestyleonline</t>
  </si>
  <si>
    <t>https://instagram.fcgh5-2.fna.fbcdn.net/v/t51.2885-19/236452750_4055560344572104_7908806409723236184_n.jpg?stp=dst-jpg_s150x150_tt6&amp;efg=eyJ2ZW5jb2RlX3RhZyI6InByb2ZpbGVfcGljLmRqYW5nby4xMDgwLmMyIn0&amp;_nc_ht=instagram.fcgh5-2.fna.fbcdn.net&amp;_nc_cat=104&amp;_nc_oc=Q6cZ2gHoT5VJMQXd9FBet0MCO5WSm7833CWCYqoqXr6lMEHWgU8mfnNkwJDtgN1dgK54UHi73Ri4lHOvJ90Evw9zxE7y&amp;_nc_ohc=WbdwSHXzl70Q7kNvwFoyip3&amp;_nc_gid=c7WugAOw-hKMzc6Qe583Dg&amp;edm=AI-cjbYBAAAA&amp;ccb=7-5&amp;oh=00_Af2jX67eT0KjlhWT1ihgyoh4e7h0bXaYsiyvt7s1K0KjIg&amp;oe=69D8D6F8&amp;_nc_sid=0985b0</t>
  </si>
  <si>
    <t>rodrigomoraesphotography</t>
  </si>
  <si>
    <t>Super cool!</t>
  </si>
  <si>
    <t>14/10/2017, 19:23:47</t>
  </si>
  <si>
    <t>https://www.instagram.com/rodrigomoraesphotography</t>
  </si>
  <si>
    <t>https://instagram.fcgh5-1.fna.fbcdn.net/v/t51.82787-19/653985561_18539806705067229_7386939799191423183_n.jpg?stp=dst-jpg_s150x150_tt6&amp;efg=eyJ2ZW5jb2RlX3RhZyI6InByb2ZpbGVfcGljLmRqYW5nby4xMDgwLmMyIn0&amp;_nc_ht=instagram.fcgh5-1.fna.fbcdn.net&amp;_nc_cat=109&amp;_nc_oc=Q6cZ2gG0ng3cwQezuPbmaxN6l5JKfNUdPhpqNovuTI8GKSxnmF1reIdjbrHmhKRcqH7EOVsQzSMaTGLoV_LPG_0Gol77&amp;_nc_ohc=ibAxXzHsjbcQ7kNvwFQaFvH&amp;_nc_gid=ozzLWD8X_yplw86OfzTqjQ&amp;edm=AI-cjbYBAAAA&amp;ccb=7-5&amp;oh=00_Af06yhgw2hVv_19DWseqloXa9iLnurJZbYHbZ8VSaoslOw&amp;oe=69D8C81F&amp;_nc_sid=0985b0</t>
  </si>
  <si>
    <t>https://instagram.fcgh5-1.fna.fbcdn.net/v/t51.82787-19/653985561_18539806705067229_7386939799191423183_n.jpg?stp=dst-jpg_s150x150_tt6&amp;efg=eyJ2ZW5jb2RlX3RhZyI6InByb2ZpbGVfcGljLmRqYW5nby4xMDgwLmMyIn0&amp;_nc_ht=instagram.fcgh5-1.fna.fbcdn.net&amp;_nc_cat=109&amp;_nc_oc=Q6cZ2gHxdj4JzH1Ab21YtWp2BdmnDvjiMXVLjJJ6QM-Y7t962hCvv-ihKCEG1LjB64CR9tZ-Uq3rY_kst7GJpuciy8lM&amp;_nc_ohc=ibAxXzHsjbcQ7kNvwFQaFvH&amp;_nc_gid=SpJMkprErMJOkTn-ujHPBg&amp;edm=AI-cjbYBAAAA&amp;ccb=7-5&amp;oh=00_Af34aUp_p-OuuR76m2cbTEsiIWOmfYpQZHmfnNYSH0mTYg&amp;oe=69D8C81F&amp;_nc_sid=0985b0</t>
  </si>
  <si>
    <t>devoltaemvolta</t>
  </si>
  <si>
    <t>🔝🔝🔝</t>
  </si>
  <si>
    <t>23/10/2017, 17:36:13</t>
  </si>
  <si>
    <t>https://www.instagram.com/devoltaemvolta</t>
  </si>
  <si>
    <t>https://instagram.fcgh5-1.fna.fbcdn.net/v/t51.2885-19/275419691_148871877601966_5232672707760290115_n.jpg?stp=dst-jpg_s150x150_tt6&amp;efg=eyJ2ZW5jb2RlX3RhZyI6InByb2ZpbGVfcGljLmRqYW5nby44OTIuYzIifQ&amp;_nc_ht=instagram.fcgh5-1.fna.fbcdn.net&amp;_nc_cat=110&amp;_nc_oc=Q6cZ2gEswVMIcUnRBmkdW8zUd4tCVTBsy81ayVb3g8r3vcdG3UiLRv1MfT8d3wYqTveh1Q_gj1q2i8bzjlTZao_NpScN&amp;_nc_ohc=_hLKrwC1Va4Q7kNvwFvqdI3&amp;_nc_gid=5wPk5sIX6fi6-9PLEtAzzw&amp;edm=AI-cjbYBAAAA&amp;ccb=7-5&amp;oh=00_Af0Ev1R1BhzwfJc4R4q_Pip4fi4-fLefxvsGV5ba2-9j1Q&amp;oe=69D8B848&amp;_nc_sid=0985b0</t>
  </si>
  <si>
    <t>https://instagram.fcgh5-1.fna.fbcdn.net/v/t51.2885-19/275419691_148871877601966_5232672707760290115_n.jpg?stp=dst-jpg_s150x150_tt6&amp;efg=eyJ2ZW5jb2RlX3RhZyI6InByb2ZpbGVfcGljLmRqYW5nby44OTIuYzIifQ&amp;_nc_ht=instagram.fcgh5-1.fna.fbcdn.net&amp;_nc_cat=110&amp;_nc_oc=Q6cZ2gFkx-yC0VeCsoXqgVSl1W70uHIxmPf02oDLX-VswhrCWk_b2gZpx1ZoiMVcf1dJk-VwwIPwTvthhe4X1xWDoIbV&amp;_nc_ohc=_hLKrwC1Va4Q7kNvwFvqdI3&amp;_nc_gid=87tYIHTqFqXS7-seTClxEg&amp;edm=AI-cjbYBAAAA&amp;ccb=7-5&amp;oh=00_Af3MQJdXH2oKRiu4-YKRBdRnFy8LOYD9I0hTVnRyPGaqdA&amp;oe=69D8B848&amp;_nc_sid=0985b0</t>
  </si>
  <si>
    <t>davide.pastorino</t>
  </si>
  <si>
    <t>Nice Photos!😆😊</t>
  </si>
  <si>
    <t>30/10/2017, 15:46:39</t>
  </si>
  <si>
    <t>https://www.instagram.com/davide.pastorino</t>
  </si>
  <si>
    <t>https://instagram.fcgh5-1.fna.fbcdn.net/v/t51.2885-19/486393240_1129031648908534_849467986192811125_n.jpg?stp=dst-jpg_s150x150_tt6&amp;efg=eyJ2ZW5jb2RlX3RhZyI6InByb2ZpbGVfcGljLmRqYW5nby4xMDgwLmMyIn0&amp;_nc_ht=instagram.fcgh5-1.fna.fbcdn.net&amp;_nc_cat=110&amp;_nc_oc=Q6cZ2gEeKsUsfD-noLw2EMNJYoAgwk8BoPhfGBM7XbBpCR9_HSlKbVGO_EuiCTCGU36gRlidKMLtcB7AnDXNfgEJX6HH&amp;_nc_ohc=foJhKk2Q580Q7kNvwFrEj_j&amp;_nc_gid=7RiA761SDmLS6Xa6jYSxhQ&amp;edm=AI-cjbYBAAAA&amp;ccb=7-5&amp;oh=00_Af0X7Xl8GT5ZqoyCrstRmMvtJDcTLu5Bo1XrgIRHPGCRFQ&amp;oe=69D8C304&amp;_nc_sid=0985b0</t>
  </si>
  <si>
    <t>piticas_amazonas</t>
  </si>
  <si>
    <t>☺</t>
  </si>
  <si>
    <t>31/10/2017, 21:32:35</t>
  </si>
  <si>
    <t>https://www.instagram.com/piticas_amazonas</t>
  </si>
  <si>
    <t>https://instagram.fcgh5-2.fna.fbcdn.net/v/t51.82787-19/654307902_18364691800164876_2268594147164363722_n.jpg?stp=dst-jpg_s150x150_tt6&amp;efg=eyJ2ZW5jb2RlX3RhZyI6InByb2ZpbGVfcGljLmRqYW5nby41MjYuYzIifQ&amp;_nc_ht=instagram.fcgh5-2.fna.fbcdn.net&amp;_nc_cat=100&amp;_nc_oc=Q6cZ2gEeKsUsfD-noLw2EMNJYoAgwk8BoPhfGBM7XbBpCR9_HSlKbVGO_EuiCTCGU36gRlidKMLtcB7AnDXNfgEJX6HH&amp;_nc_ohc=yO3MmKk7aqQQ7kNvwGCS7Fx&amp;_nc_gid=7RiA761SDmLS6Xa6jYSxhQ&amp;edm=AI-cjbYBAAAA&amp;ccb=7-5&amp;oh=00_Af0EKumyAxM4q5MHL6iQcuCU2QKwBkubDB-rBJgdk3Jgpg&amp;oe=69D8BFF9&amp;_nc_sid=0985b0</t>
  </si>
  <si>
    <t>remove_before_flight</t>
  </si>
  <si>
    <t>This is cool</t>
  </si>
  <si>
    <t>07/11/2017, 09:03:12</t>
  </si>
  <si>
    <t>https://www.instagram.com/remove_before_flight</t>
  </si>
  <si>
    <t>https://instagram.fcgh5-1.fna.fbcdn.net/v/t51.2885-19/103163065_564124054477853_5878703049081858498_n.jpg?stp=dst-jpg_s150x150_tt6&amp;efg=eyJ2ZW5jb2RlX3RhZyI6InByb2ZpbGVfcGljLmRqYW5nby4xMDgwLmMyIn0&amp;_nc_ht=instagram.fcgh5-1.fna.fbcdn.net&amp;_nc_cat=105&amp;_nc_oc=Q6cZ2gGGvSugGdbEfY_S9mEBQ_uWqvs6ighCc0bqffrdFZV_gsDtbJ0podsceAf1-LaGpPHj72JvnJo6ZJmdTrXvvuWD&amp;_nc_ohc=m8ILqLcHNSEQ7kNvwEd0ko7&amp;_nc_gid=IuLMt2bmNJds8Z0Cr_3o1Q&amp;edm=AI-cjbYBAAAA&amp;ccb=7-5&amp;oh=00_Af2KkI2XpeZBTM163WWx2PA52PHN8NI0D2OtIrs4bdb4WA&amp;oe=69D8C1C5&amp;_nc_sid=0985b0</t>
  </si>
  <si>
    <t>sohohotelstulum</t>
  </si>
  <si>
    <t>👋👌</t>
  </si>
  <si>
    <t>04/11/2017, 22:21:02</t>
  </si>
  <si>
    <t>https://www.instagram.com/sohohotelstulum</t>
  </si>
  <si>
    <t>https://instagram.fcgh5-1.fna.fbcdn.net/v/t51.2885-19/181445250_488253119168720_4518229969783733294_n.jpg?stp=dst-jpg_s150x150_tt6&amp;efg=eyJ2ZW5jb2RlX3RhZyI6InByb2ZpbGVfcGljLmRqYW5nby42NjcuYzIifQ&amp;_nc_ht=instagram.fcgh5-1.fna.fbcdn.net&amp;_nc_cat=108&amp;_nc_oc=Q6cZ2gECgD-U8FaVzWa6UrEysGUZ0tuThzx4vby6rYRrenk5MnN2GUaoZs9pR0yNSdCwhREeErB_NGVVeUhDFmtR1EHP&amp;_nc_ohc=RPtJ3jPkcGMQ7kNvwE8AEkD&amp;_nc_gid=K46qj9bCDvhhDpno4iIHUg&amp;edm=AI-cjbYBAAAA&amp;ccb=7-5&amp;oh=00_Af3M_w4XLSRESOO0vCwPfp9PpHKJSCeqa4l0ukyvhVE5ug&amp;oe=69D8D347&amp;_nc_sid=0985b0</t>
  </si>
  <si>
    <t>drfilipeoliveira</t>
  </si>
  <si>
    <t>👏 👏</t>
  </si>
  <si>
    <t>16/11/2017, 23:39:54</t>
  </si>
  <si>
    <t>https://www.instagram.com/drfilipeoliveira</t>
  </si>
  <si>
    <t>https://instagram.fcgh5-1.fna.fbcdn.net/v/t51.2885-19/498176973_18506233774013733_4926596771716785679_n.jpg?stp=dst-jpg_s150x150_tt6&amp;efg=eyJ2ZW5jb2RlX3RhZyI6InByb2ZpbGVfcGljLmRqYW5nby4xMDgwLmMyIn0&amp;_nc_ht=instagram.fcgh5-1.fna.fbcdn.net&amp;_nc_cat=109&amp;_nc_oc=Q6cZ2gE8T8dO-VkNBEbgVmY6_kqBytM9wHrjWn4jbkKjizFdW75nTt6V1RE8qNJtyuvwwjP4mYrqgUzdrU8VlAVae1Bj&amp;_nc_ohc=Es7YsLPGKeMQ7kNvwHY1Pic&amp;_nc_gid=R_w99Igasplh6s9pSA4_IA&amp;edm=AI-cjbYBAAAA&amp;ccb=7-5&amp;oh=00_Af1bFJ5rEOuXnLDR7xl7RLi1R6ZpQJg-PtqRKB5pM9NDGg&amp;oe=69D8DA22&amp;_nc_sid=0985b0</t>
  </si>
  <si>
    <t>pinkstarmanaus</t>
  </si>
  <si>
    <t>18/11/2017, 21:07:41</t>
  </si>
  <si>
    <t>https://www.instagram.com/pinkstarmanaus</t>
  </si>
  <si>
    <t>https://instagram.fcgh5-2.fna.fbcdn.net/v/t51.2885-19/494917106_18361131859176697_9092813024103775604_n.jpg?stp=dst-jpg_s150x150_tt6&amp;efg=eyJ2ZW5jb2RlX3RhZyI6InByb2ZpbGVfcGljLmRqYW5nby4xMDgwLmMyIn0&amp;_nc_ht=instagram.fcgh5-2.fna.fbcdn.net&amp;_nc_cat=101&amp;_nc_oc=Q6cZ2gE8T8dO-VkNBEbgVmY6_kqBytM9wHrjWn4jbkKjizFdW75nTt6V1RE8qNJtyuvwwjP4mYrqgUzdrU8VlAVae1Bj&amp;_nc_ohc=f5TBNxNRSggQ7kNvwHXHlN-&amp;_nc_gid=R_w99Igasplh6s9pSA4_IA&amp;edm=AI-cjbYBAAAA&amp;ccb=7-5&amp;oh=00_Af1QDYs2QpltFfPbIcHCpD0hf_cZHW6xx_N-JscfBggUjw&amp;oe=69D8DC6D&amp;_nc_sid=0985b0</t>
  </si>
  <si>
    <t>predicterz</t>
  </si>
  <si>
    <t>Very cool!</t>
  </si>
  <si>
    <t>21/12/2017, 16:02:27</t>
  </si>
  <si>
    <t>https://www.instagram.com/predicterz</t>
  </si>
  <si>
    <t>https://scontent-bsb1-1.cdninstagram.com/v/t51.2885-19/573323465_1219825463302212_7278921664109726296_n.png?stp=dst-jpg_e0_s150x150_tt6&amp;efg=eyJ2ZW5jb2RlX3RhZyI6InByb2ZpbGVfcGljLmRqYW5nby4xNTAuYzIifQ&amp;_nc_ht=scontent-bsb1-1.cdninstagram.com&amp;_nc_cat=1&amp;_nc_oc=Q6cZ2gE3z4O7YWrupq0l6AmaLBRpEEZjYV5Td-18obemzvq4Ok4iRB4zqNheraH6JSBsa1KUz7ofho_dD1C9iruaYyZt&amp;_nc_ohc=a8xHEXzvkAIQ7kNvwERacxq&amp;_nc_gid=uYdtzHFtDfnZ_tcduHnhYA&amp;edm=ALlQn9MBAAAA&amp;ccb=7-5&amp;ig_cache_key=YW5vbnltb3VzX3Byb2ZpbGVfcGlj.3-ccb7-5&amp;oh=00_Af1m5V5pGQir-UYlCaAexw-3kxc6GU7b2wXuAcEI2rCiew&amp;oe=69D8EAAA&amp;_nc_sid=e7f676</t>
  </si>
  <si>
    <t>presscoffeelondon</t>
  </si>
  <si>
    <t>Cool!</t>
  </si>
  <si>
    <t>23/12/2017, 14:34:54</t>
  </si>
  <si>
    <t>https://www.instagram.com/presscoffeelondon</t>
  </si>
  <si>
    <t>https://instagram.fcgh5-1.fna.fbcdn.net/v/t51.2885-19/49985322_1996000210525373_3224677380165468160_n.jpg?stp=dst-jpg_s150x150_tt6&amp;efg=eyJ2ZW5jb2RlX3RhZyI6InByb2ZpbGVfcGljLmRqYW5nby4xMDgwLmMyIn0&amp;_nc_ht=instagram.fcgh5-1.fna.fbcdn.net&amp;_nc_cat=105&amp;_nc_oc=Q6cZ2gHC0zQir1TrRwulOasBcia9BzaLHnN4l-4Vk-SwYFf2Q-8EE8FHlDhSDZe_K7wXJ1WlottqvELnIL6tMJBnTV1O&amp;_nc_ohc=rQ2-LrHXbNEQ7kNvwHV3mq8&amp;_nc_gid=pKxeVnJhgWOZvfuuaVNMug&amp;edm=AI-cjbYBAAAA&amp;ccb=7-5&amp;oh=00_Af3f2y2EWrwm7y7DkaDyUL645KRLrFvm6fCs-91r4Q53vw&amp;oe=69D8BAFF&amp;_nc_sid=0985b0</t>
  </si>
  <si>
    <t>donaninaoficial</t>
  </si>
  <si>
    <t>😊🌹🌹🌹🌹</t>
  </si>
  <si>
    <t>19/12/2017, 20:24:07</t>
  </si>
  <si>
    <t>https://www.instagram.com/donaninaoficial</t>
  </si>
  <si>
    <t>https://instagram.fcgh5-1.fna.fbcdn.net/v/t51.2885-19/485962362_1114728773789336_7040731917344477120_n.jpg?stp=dst-jpg_s150x150_tt6&amp;efg=eyJ2ZW5jb2RlX3RhZyI6InByb2ZpbGVfcGljLmRqYW5nby44MDguYzIifQ&amp;_nc_ht=instagram.fcgh5-1.fna.fbcdn.net&amp;_nc_cat=108&amp;_nc_oc=Q6cZ2gHMZVOrLVVkc4Q-NOSXNz_IG_MjKEIE2dBJ0Fq9L749Q0W-6sex8sO5q27vO63vLvlTG4h4qhD-XZ7sg262M93l&amp;_nc_ohc=YKjwQ2qnqX8Q7kNvwG-UqhC&amp;_nc_gid=KRZFKGczkpi5q4Tq6QGZWQ&amp;edm=AI-cjbYBAAAA&amp;ccb=7-5&amp;oh=00_Af2GSv8jcH6nz2IMpYnjvZgjT-m2d5KY7bW4JF2FB5BUlA&amp;oe=69D8E49D&amp;_nc_sid=0985b0</t>
  </si>
  <si>
    <t>https://instagram.fcgh5-1.fna.fbcdn.net/v/t51.2885-19/485962362_1114728773789336_7040731917344477120_n.jpg?stp=dst-jpg_s150x150_tt6&amp;efg=eyJ2ZW5jb2RlX3RhZyI6InByb2ZpbGVfcGljLmRqYW5nby44MDguYzIifQ&amp;_nc_ht=instagram.fcgh5-1.fna.fbcdn.net&amp;_nc_cat=108&amp;_nc_oc=Q6cZ2gHmUjT-CDwU3QEbBdIQSSd-VhPqeVqxGkiHoTRQ_cVAcScaEPkZSCiPeDBhW5K6mhM61E3ow1vBBCFcAYnmn59V&amp;_nc_ohc=YKjwQ2qnqX8Q7kNvwG-UqhC&amp;_nc_gid=uHTamFTaV3uzPwTWlIiEzw&amp;edm=AI-cjbYBAAAA&amp;ccb=7-5&amp;oh=00_Af0eZYwG-XIt2uTnEnMq645lOvZxqoLMStCRO4l3tFKwbg&amp;oe=69D8E49D&amp;_nc_sid=0985b0</t>
  </si>
  <si>
    <t>seliworks.led</t>
  </si>
  <si>
    <t>👍🔝!</t>
  </si>
  <si>
    <t>18/12/2017, 21:12:47</t>
  </si>
  <si>
    <t>https://www.instagram.com/seliworks.led</t>
  </si>
  <si>
    <t>https://instagram.fcgh5-1.fna.fbcdn.net/v/t51.2885-19/276026647_967377623902137_4509163205568240284_n.jpg?stp=dst-jpg_s150x150_tt6&amp;efg=eyJ2ZW5jb2RlX3RhZyI6InByb2ZpbGVfcGljLmRqYW5nby41ODQuYzIifQ&amp;_nc_ht=instagram.fcgh5-1.fna.fbcdn.net&amp;_nc_cat=109&amp;_nc_oc=Q6cZ2gFYP2BA6AFOYkhmdYAe1q1SLhNv4G_lj7YIsZy3IpdJ3Dp6N93bhHDfxS2Y71D3VuWWYFvQrwVfCcr_1ztBlZIR&amp;_nc_ohc=jQZWFnC1xMMQ7kNvwFlZNs8&amp;_nc_gid=vkGueHFDetWoGBjY9nQ12Q&amp;edm=AI-cjbYBAAAA&amp;ccb=7-5&amp;oh=00_Af043f8VcTInApOc-afZPSCTrGKu3D2XcEsKWFxZfMds6g&amp;oe=69D8E856&amp;_nc_sid=0985b0</t>
  </si>
  <si>
    <t>bulabeer</t>
  </si>
  <si>
    <t>🔥💥</t>
  </si>
  <si>
    <t>07/12/2017, 05:53:26</t>
  </si>
  <si>
    <t>https://www.instagram.com/bulabeer</t>
  </si>
  <si>
    <t>https://instagram.fcgh5-1.fna.fbcdn.net/v/t51.2885-19/11328530_1731118180448650_1480644688_a.jpg?stp=dst-jpg_s150x150_tt6&amp;efg=eyJ2ZW5jb2RlX3RhZyI6InByb2ZpbGVfcGljLmRqYW5nby4xNTAuYzIifQ&amp;_nc_ht=instagram.fcgh5-1.fna.fbcdn.net&amp;_nc_cat=110&amp;_nc_oc=Q6cZ2gHMLMlHVR41wuDuobgweZbWlqtA4GLIOOpkvwvJGgE7aXV7hv0_Bh1kmbBTrnJFMCsrQ44imKjAZPEcNqe27aUn&amp;_nc_ohc=MzQDDyN4fMkQ7kNvwGSuGsX&amp;_nc_gid=RsxRzXbURbjHI32yOnACMw&amp;edm=AI-cjbYBAAAA&amp;ccb=7-5&amp;oh=00_Af1q9OCmQGm-CFO8AWVYYA9xF7uus-HLgxcCv_I0G28rgg&amp;oe=69D8E8C9&amp;_nc_sid=0985b0</t>
  </si>
  <si>
    <t>nath_whiting</t>
  </si>
  <si>
    <t>Nice! :-)</t>
  </si>
  <si>
    <t>05/05/2018, 16:10:16</t>
  </si>
  <si>
    <t>https://www.instagram.com/nath_whiting</t>
  </si>
  <si>
    <t>https://instagram.fcgh5-2.fna.fbcdn.net/v/t51.2885-19/22221230_489633444735507_4552481560699338752_n.jpg?stp=dst-jpg_s150x150_tt6&amp;efg=eyJ2ZW5jb2RlX3RhZyI6InByb2ZpbGVfcGljLmRqYW5nby4xMDgwLmMyIn0&amp;_nc_ht=instagram.fcgh5-2.fna.fbcdn.net&amp;_nc_cat=103&amp;_nc_oc=Q6cZ2gFJpJfK4unTfmVJ7aApAm2qOLh9QFcIU2XFU5X-0Bw7TwxvNRBBXD2pY0lrCw5qwQ9s4MtnPwDF2xHeCZ7-_xWF&amp;_nc_ohc=iHslv8_FYX4Q7kNvwHLhhMY&amp;_nc_gid=glKdPxPJQDYPpb2Lh7Dz-A&amp;edm=AI-cjbYBAAAA&amp;ccb=7-5&amp;oh=00_Af2rDYoTLkHo8u4kOVn6xQoiUzIprogjfgsHctN1nx9TRg&amp;oe=69D8C108&amp;_nc_sid=0985b0</t>
  </si>
  <si>
    <t>simon_marine_inc</t>
  </si>
  <si>
    <t>Keep on the good work!</t>
  </si>
  <si>
    <t>02/01/2018, 22:06:01</t>
  </si>
  <si>
    <t>https://www.instagram.com/simon_marine_inc</t>
  </si>
  <si>
    <t>https://instagram.fcgh5-1.fna.fbcdn.net/v/t51.2885-19/34330951_615571195487638_8557920794833846272_n.jpg?stp=dst-jpg_s150x150_tt6&amp;efg=eyJ2ZW5jb2RlX3RhZyI6InByb2ZpbGVfcGljLmRqYW5nby4xMDgwLmMyIn0&amp;_nc_ht=instagram.fcgh5-1.fna.fbcdn.net&amp;_nc_cat=110&amp;_nc_oc=Q6cZ2gHsAqjJc9cHJY7I2Sq1IdSTNRaUcGpAoCvyJJShpogyubo47VL2im2mBd1hm5zUs_FUCsD5L5PnH8rdY2UzlCgV&amp;_nc_ohc=4LbOMcGaNi4Q7kNvwEZoAtd&amp;_nc_gid=CY1MYu-2RVCBWJ7J_ix9Zg&amp;edm=AI-cjbYBAAAA&amp;ccb=7-5&amp;oh=00_Af14axYLlsZSKuE_agurP-ECD4jGhHQAHjAUBqTELQ8OOA&amp;oe=69D8DFEF&amp;_nc_sid=0985b0</t>
  </si>
  <si>
    <t>Keep diggin it</t>
  </si>
  <si>
    <t>02/01/2018, 22:12:47</t>
  </si>
  <si>
    <t>https://instagram.fcgh5-1.fna.fbcdn.net/v/t51.2885-19/34330951_615571195487638_8557920794833846272_n.jpg?stp=dst-jpg_s150x150_tt6&amp;efg=eyJ2ZW5jb2RlX3RhZyI6InByb2ZpbGVfcGljLmRqYW5nby4xMDgwLmMyIn0&amp;_nc_ht=instagram.fcgh5-1.fna.fbcdn.net&amp;_nc_cat=110&amp;_nc_oc=Q6cZ2gGR5TxFw9hT_ceMFOV1pTdNccaf1TcXt0aCUNpXvFLSYTS4Wt2LvR1nSK-zmnZDF2O-P4xWL5iMkwvSZDCqsSx_&amp;_nc_ohc=4LbOMcGaNi4Q7kNvwEZoAtd&amp;_nc_gid=gEhTQColUzqQ26MIDgcgYw&amp;edm=AI-cjbYBAAAA&amp;ccb=7-5&amp;oh=00_Af0GStTr6_v4p54lmQB_ckAWI1bc9SfqmBMWnu31cs4aaA&amp;oe=69D8DFEF&amp;_nc_sid=0985b0</t>
  </si>
  <si>
    <t>meggabagagens</t>
  </si>
  <si>
    <t>Olá @revistaembarque Estou passando para divulgar o nosso perfil. Um abraço!</t>
  </si>
  <si>
    <t>21/05/2018, 00:11:18</t>
  </si>
  <si>
    <t>https://www.instagram.com/meggabagagens</t>
  </si>
  <si>
    <t>https://instagram.fcgh5-1.fna.fbcdn.net/v/t51.2885-19/155873362_236131061295782_6714679968661443146_n.jpg?stp=dst-jpg_s150x150_tt6&amp;efg=eyJ2ZW5jb2RlX3RhZyI6InByb2ZpbGVfcGljLmRqYW5nby42NTUuYzIifQ&amp;_nc_ht=instagram.fcgh5-1.fna.fbcdn.net&amp;_nc_cat=102&amp;_nc_oc=Q6cZ2gGR5TxFw9hT_ceMFOV1pTdNccaf1TcXt0aCUNpXvFLSYTS4Wt2LvR1nSK-zmnZDF2O-P4xWL5iMkwvSZDCqsSx_&amp;_nc_ohc=t_gPgJDEI7IQ7kNvwFC0yco&amp;_nc_gid=gEhTQColUzqQ26MIDgcgYw&amp;edm=AI-cjbYBAAAA&amp;ccb=7-5&amp;oh=00_Af1HHwgCDFoidY00do0Ue1c07PeOChOuR_Xy-cD0SLMT1g&amp;oe=69D8D7DB&amp;_nc_sid=0985b0</t>
  </si>
  <si>
    <t>https://instagram.fcgh5-1.fna.fbcdn.net/v/t51.2885-19/34330951_615571195487638_8557920794833846272_n.jpg?stp=dst-jpg_s150x150_tt6&amp;efg=eyJ2ZW5jb2RlX3RhZyI6InByb2ZpbGVfcGljLmRqYW5nby4xMDgwLmMyIn0&amp;_nc_ht=instagram.fcgh5-1.fna.fbcdn.net&amp;_nc_cat=110&amp;_nc_oc=Q6cZ2gFhHhI1ROEv8vJLtbe6Y1JHqMlpl3u5vEpunKAqtu579phi02BhzUQD2EHDg-zRoTxa_9XIh5kBUfZudLNL9juq&amp;_nc_ohc=4LbOMcGaNi4Q7kNvwEZoAtd&amp;_nc_gid=ZtLZxwg8DW0c8lL-KwhHYQ&amp;edm=AI-cjbYBAAAA&amp;ccb=7-5&amp;oh=00_Af0uZanc0tMIAUuU3Nrt_vNbrcVLwdWpr-EdunIyZ1VgeQ&amp;oe=69D8DFEF&amp;_nc_sid=0985b0</t>
  </si>
  <si>
    <t>https://instagram.fcgh5-1.fna.fbcdn.net/v/t51.2885-19/155873362_236131061295782_6714679968661443146_n.jpg?stp=dst-jpg_s150x150_tt6&amp;efg=eyJ2ZW5jb2RlX3RhZyI6InByb2ZpbGVfcGljLmRqYW5nby42NTUuYzIifQ&amp;_nc_ht=instagram.fcgh5-1.fna.fbcdn.net&amp;_nc_cat=102&amp;_nc_oc=Q6cZ2gFhHhI1ROEv8vJLtbe6Y1JHqMlpl3u5vEpunKAqtu579phi02BhzUQD2EHDg-zRoTxa_9XIh5kBUfZudLNL9juq&amp;_nc_ohc=t_gPgJDEI7IQ7kNvwFC0yco&amp;_nc_gid=ZtLZxwg8DW0c8lL-KwhHYQ&amp;edm=AI-cjbYBAAAA&amp;ccb=7-5&amp;oh=00_Af3JETXEh5yI7cZxXsTSKq_udYkp2NbwcDyFrPo6U3I_WQ&amp;oe=69D8D7DB&amp;_nc_sid=0985b0</t>
  </si>
  <si>
    <t>caitlynscarlett</t>
  </si>
  <si>
    <t>👍</t>
  </si>
  <si>
    <t>04/01/2018, 20:23:52</t>
  </si>
  <si>
    <t>https://www.instagram.com/caitlynscarlett</t>
  </si>
  <si>
    <t>https://instagram.fcgh5-1.fna.fbcdn.net/v/t51.2885-19/491441208_18506230117042118_1778564391610658021_n.jpg?stp=dst-jpg_s150x150_tt6&amp;efg=eyJ2ZW5jb2RlX3RhZyI6InByb2ZpbGVfcGljLmRqYW5nby45NzguYzIifQ&amp;_nc_ht=instagram.fcgh5-1.fna.fbcdn.net&amp;_nc_cat=102&amp;_nc_oc=Q6cZ2gHBX5iGd2JgXvNIhtkVYYZXeWZg7l9ERBZnhZ2WyBeaU0GP0uyXisSDSPgYRfrvR7HvatoCSIqLIInLPz9uHEC9&amp;_nc_ohc=w2rWGQhwKXsQ7kNvwGC0Rh6&amp;_nc_gid=eGQ_4cG0vFCkryyl_tz8uw&amp;edm=AI-cjbYBAAAA&amp;ccb=7-5&amp;oh=00_Af35z843NtMPuwfq43VXG3IdVcDcLSCnuiC-Em463-WXsQ&amp;oe=69D8D656&amp;_nc_sid=0985b0</t>
  </si>
  <si>
    <t>https://instagram.fcgh5-1.fna.fbcdn.net/v/t51.2885-19/491441208_18506230117042118_1778564391610658021_n.jpg?stp=dst-jpg_s150x150_tt6&amp;efg=eyJ2ZW5jb2RlX3RhZyI6InByb2ZpbGVfcGljLmRqYW5nby45NzguYzIifQ&amp;_nc_ht=instagram.fcgh5-1.fna.fbcdn.net&amp;_nc_cat=102&amp;_nc_oc=Q6cZ2gEGO8yfxgFZHq1UIRDZJtt5AUDN0B6VLdqK8VqAJgy7WwtSvA6YTssbOLbcD84opFBzCZwxoH2iqX_PS-9sH1cJ&amp;_nc_ohc=w2rWGQhwKXsQ7kNvwGC0Rh6&amp;_nc_gid=rgAZMjMg3y2Fb3ZFlsALSg&amp;edm=AI-cjbYBAAAA&amp;ccb=7-5&amp;oh=00_Af0yHlb1OdqgAAx_ADMESXFrs5_GAhu-JsgBkWQUPdENvQ&amp;oe=69D8D656&amp;_nc_sid=0985b0</t>
  </si>
  <si>
    <t>eats_adl</t>
  </si>
  <si>
    <t>Tasty 😍</t>
  </si>
  <si>
    <t>04/01/2018, 18:37:21</t>
  </si>
  <si>
    <t>https://www.instagram.com/eats_adl</t>
  </si>
  <si>
    <t>https://instagram.fcgh5-1.fna.fbcdn.net/v/t51.2885-19/31849676_168350064000740_1528288885929410560_n.jpg?stp=dst-jpg_s150x150_tt6&amp;efg=eyJ2ZW5jb2RlX3RhZyI6InByb2ZpbGVfcGljLmRqYW5nby43NTAuYzIifQ&amp;_nc_ht=instagram.fcgh5-1.fna.fbcdn.net&amp;_nc_cat=108&amp;_nc_oc=Q6cZ2gHAy2bfc3T4ZgrfRecQ2qsTjCm1Zqma1xnpiJA-MAqHI0zFC1wUcvqkcRPBFadMitUrGY9HFo7rf1EbjAFE0o7f&amp;_nc_ohc=iUlzbkjj5SYQ7kNvwEh08GG&amp;_nc_gid=ZSJLmD751HKvmkBFowLi-Q&amp;edm=AI-cjbYBAAAA&amp;ccb=7-5&amp;oh=00_Af3dHGdQTIeHH8-uF6Ci0soT5MDHCBTg7dclbfeR8AeqbA&amp;oe=69D8BEA0&amp;_nc_sid=0985b0</t>
  </si>
  <si>
    <t>eiscafe.birkeneck</t>
  </si>
  <si>
    <t>finde ich gut die Impression ✨👁👱</t>
  </si>
  <si>
    <t>20/11/2018, 17:58:59</t>
  </si>
  <si>
    <t>https://www.instagram.com/eiscafe.birkeneck</t>
  </si>
  <si>
    <t>https://instagram.fcgh5-2.fna.fbcdn.net/v/t51.2885-19/56567415_1270104846476046_4866915231676235776_n.jpg?stp=dst-jpg_s150x150_tt6&amp;efg=eyJ2ZW5jb2RlX3RhZyI6InByb2ZpbGVfcGljLmRqYW5nby4xMDgwLmMyIn0&amp;_nc_ht=instagram.fcgh5-2.fna.fbcdn.net&amp;_nc_cat=106&amp;_nc_oc=Q6cZ2gHAy2bfc3T4ZgrfRecQ2qsTjCm1Zqma1xnpiJA-MAqHI0zFC1wUcvqkcRPBFadMitUrGY9HFo7rf1EbjAFE0o7f&amp;_nc_ohc=MDj6W_X39psQ7kNvwH_6ueE&amp;_nc_gid=ZSJLmD751HKvmkBFowLi-Q&amp;edm=AI-cjbYBAAAA&amp;ccb=7-5&amp;oh=00_Af2ZwzZfz7lWYVnIvhmcFodCz6EFL6HuZN3mzE_dvzPnlw&amp;oe=69D8DD49&amp;_nc_sid=0985b0</t>
  </si>
  <si>
    <t>designanarchystudio</t>
  </si>
  <si>
    <t>💝</t>
  </si>
  <si>
    <t>29/12/2017, 06:44:18</t>
  </si>
  <si>
    <t>https://www.instagram.com/designanarchystudio</t>
  </si>
  <si>
    <t>https://instagram.fcgh5-2.fna.fbcdn.net/v/t51.2885-19/471427037_1737425047014534_1949350082727836077_n.jpg?stp=dst-jpg_s150x150_tt6&amp;efg=eyJ2ZW5jb2RlX3RhZyI6InByb2ZpbGVfcGljLmRqYW5nby43NjEuYzIifQ&amp;_nc_ht=instagram.fcgh5-2.fna.fbcdn.net&amp;_nc_cat=106&amp;_nc_oc=Q6cZ2gHgtDxynAtey4dO5p1xpbsqcun_7VoXOC3CBYxsuHZ0i_7DW1MdEdzbm6h43HRRAo4oQwl7IdxASwbKS3CMCbtF&amp;_nc_ohc=592_S_-UXlAQ7kNvwEdDSNr&amp;_nc_gid=tuzn_T3ttHBKR8I0MwowSg&amp;edm=AI-cjbYBAAAA&amp;ccb=7-5&amp;oh=00_Af144siGz3nzdaNoRaUNHPuOqnRW98CubnAqqEvELEz0rQ&amp;oe=69D8C118&amp;_nc_sid=0985b0</t>
  </si>
  <si>
    <t>https://instagram.fcgh5-2.fna.fbcdn.net/v/t51.2885-19/471427037_1737425047014534_1949350082727836077_n.jpg?stp=dst-jpg_s150x150_tt6&amp;efg=eyJ2ZW5jb2RlX3RhZyI6InByb2ZpbGVfcGljLmRqYW5nby43NjEuYzIifQ&amp;_nc_ht=instagram.fcgh5-2.fna.fbcdn.net&amp;_nc_cat=106&amp;_nc_oc=Q6cZ2gGxhfC9U8wULknDglJTM1xt3U7i9pIxDYdh4PfT4K3n7CmIX3Nzbwwga38VrhtQ_z5g9JwVUvOkU7TjE5Jv9oc-&amp;_nc_ohc=592_S_-UXlAQ7kNvwEdDSNr&amp;_nc_gid=xXvJs4xxF0aqw3YZWgfb4g&amp;edm=AI-cjbYBAAAA&amp;ccb=7-5&amp;oh=00_Af1TO9T4QR_duqGBFjqy-RWECrwu_kVatvKvW7_UiIpqmA&amp;oe=69D8C118&amp;_nc_sid=0985b0</t>
  </si>
  <si>
    <t>tuuriscom</t>
  </si>
  <si>
    <t>😉</t>
  </si>
  <si>
    <t>08/01/2018, 16:01:15</t>
  </si>
  <si>
    <t>https://www.instagram.com/tuuriscom</t>
  </si>
  <si>
    <t>https://instagram.fcgh5-1.fna.fbcdn.net/v/t51.2885-19/163084616_448232156285405_7067193939933146955_n.jpg?stp=dst-jpg_s150x150_tt6&amp;efg=eyJ2ZW5jb2RlX3RhZyI6InByb2ZpbGVfcGljLmRqYW5nby4zNDUuYzIifQ&amp;_nc_ht=instagram.fcgh5-1.fna.fbcdn.net&amp;_nc_cat=105&amp;_nc_oc=Q6cZ2gE27wr5IKZKXho1_gBPh9gdLF9yuds_2e8eoayyYYEzkFxSnR8sqkjaUIeQYBq2yEDh-t2Ii1ocKzNSSRni7Hzc&amp;_nc_ohc=RtllOeqonGYQ7kNvwG_sKFh&amp;_nc_gid=u33ovHdejRj1QElcno7Iow&amp;edm=AI-cjbYBAAAA&amp;ccb=7-5&amp;oh=00_Af2_i9CS8qGwjMxt8ZJ2zjrPB6azfJ4xz1U_8e6MNglH8w&amp;oe=69D8D5D0&amp;_nc_sid=0985b0</t>
  </si>
  <si>
    <t>09/01/2018, 17:10:03</t>
  </si>
  <si>
    <t>https://instagram.fcgh5-1.fna.fbcdn.net/v/t51.2885-19/275419691_148871877601966_5232672707760290115_n.jpg?stp=dst-jpg_s150x150_tt6&amp;efg=eyJ2ZW5jb2RlX3RhZyI6InByb2ZpbGVfcGljLmRqYW5nby44OTIuYzIifQ&amp;_nc_ht=instagram.fcgh5-1.fna.fbcdn.net&amp;_nc_cat=110&amp;_nc_oc=Q6cZ2gFJ_sxrbvtAuPx_q8uYTyw-Ei5V597wqB4MVU708NcCjm_4b3b_i5bMvzIux2Nmiyn6eobHUyHikVmeD5s6EtYv&amp;_nc_ohc=_hLKrwC1Va4Q7kNvwFvqdI3&amp;_nc_gid=MTJOHAiG1jOJfVbdYtBTKg&amp;edm=AI-cjbYBAAAA&amp;ccb=7-5&amp;oh=00_Af0NjSH6a89c2GLad5XfYkam9CcTkTP8zV0RfWwOQ9utLA&amp;oe=69D8B848&amp;_nc_sid=0985b0</t>
  </si>
  <si>
    <t>thibaud_brugier</t>
  </si>
  <si>
    <t>🙌 😊 😄</t>
  </si>
  <si>
    <t>28/01/2018, 00:35:01</t>
  </si>
  <si>
    <t>https://www.instagram.com/thibaud_brugier</t>
  </si>
  <si>
    <t>https://instagram.fcgh5-1.fna.fbcdn.net/v/t51.82787-19/553036849_18373981156149634_1952772848733611801_n.jpg?stp=dst-jpg_s150x150_tt6&amp;efg=eyJ2ZW5jb2RlX3RhZyI6InByb2ZpbGVfcGljLmRqYW5nby4xMDgwLmMyIn0&amp;_nc_ht=instagram.fcgh5-1.fna.fbcdn.net&amp;_nc_cat=110&amp;_nc_oc=Q6cZ2gHQYvsIVmxrLahLwCr6jnWfMWzZiwoPOc-LMwP3jIE7gSYXftXmMLyAwZIlb6T94IUYvYqTT6Ugd1i_nxOsokOE&amp;_nc_ohc=m78YF7fr1vYQ7kNvwHo9Wto&amp;_nc_gid=ureCA-0tbAWvp8EDDDS_BA&amp;edm=AI-cjbYBAAAA&amp;ccb=7-5&amp;oh=00_Af1Wjtxcwhw1sW3sLP504WyAbMRwlpu6O-xnRLL8n8t26w&amp;oe=69D8D52D&amp;_nc_sid=0985b0</t>
  </si>
  <si>
    <t>gigilouzada_</t>
  </si>
  <si>
    <t>Uhuuuuuuu ❤️</t>
  </si>
  <si>
    <t>10/01/2018, 11:45:31</t>
  </si>
  <si>
    <t>https://www.instagram.com/gigilouzada_</t>
  </si>
  <si>
    <t>https://instagram.fcgh5-2.fna.fbcdn.net/v/t51.2885-19/412758141_382391784160021_75100544346182507_n.jpg?stp=dst-jpg_s150x150_tt6&amp;efg=eyJ2ZW5jb2RlX3RhZyI6InByb2ZpbGVfcGljLmRqYW5nby44MjguYzIifQ&amp;_nc_ht=instagram.fcgh5-2.fna.fbcdn.net&amp;_nc_cat=101&amp;_nc_oc=Q6cZ2gHILFFhxmqwNR1BekyEwItL4fPrC0T7XTZh0sLR0WlX0UQe1GBERzbAeJnvSI2kAjUPqJ8Wzo-5LB_Nol_8CVu-&amp;_nc_ohc=XwMPGgsC2WIQ7kNvwFlpSLM&amp;_nc_gid=3tmAIXcha7zXu5SODnKuVQ&amp;edm=AI-cjbYBAAAA&amp;ccb=7-5&amp;oh=00_Af2wEq7IqEYqAF9FTFX5tk-XfE1O97yA5y5ptkiBMdps2g&amp;oe=69D8C15D&amp;_nc_sid=0985b0</t>
  </si>
  <si>
    <t>dewayoficial</t>
  </si>
  <si>
    <t>📱</t>
  </si>
  <si>
    <t>11/01/2018, 03:15:58</t>
  </si>
  <si>
    <t>https://www.instagram.com/dewayoficial</t>
  </si>
  <si>
    <t>https://instagram.fcgh5-2.fna.fbcdn.net/v/t51.2885-19/324072495_162326802818425_6731676064595453603_n.jpg?stp=dst-jpg_s150x150_tt6&amp;efg=eyJ2ZW5jb2RlX3RhZyI6InByb2ZpbGVfcGljLmRqYW5nby45ODIuYzIifQ&amp;_nc_ht=instagram.fcgh5-2.fna.fbcdn.net&amp;_nc_cat=101&amp;_nc_oc=Q6cZ2gEQVB9n0jTIBywDOyfBVy2DGLDTpMIrLPEbquc-m3LvP6QkZiAU86As6PsHp1zULHDP5p41cYuZd_xrlAWKoKQm&amp;_nc_ohc=6LMhZXEXXRMQ7kNvwGeaCM_&amp;_nc_gid=Pca3W9M5sbap0kJO8d26PQ&amp;edm=AI-cjbYBAAAA&amp;ccb=7-5&amp;oh=00_Af1iPrgIg9lB6VUC41tJpltDxYvqJ2ecztsvYLpo0Y5tvw&amp;oe=69D8B5F0&amp;_nc_sid=0985b0</t>
  </si>
  <si>
    <t>lalysemijoias</t>
  </si>
  <si>
    <t>Muito bem! 😀</t>
  </si>
  <si>
    <t>13/01/2018, 22:42:55</t>
  </si>
  <si>
    <t>https://www.instagram.com/lalysemijoias</t>
  </si>
  <si>
    <t>https://instagram.fcgh5-1.fna.fbcdn.net/v/t51.2885-19/123301289_168148501603510_4680104561159577394_n.jpg?stp=dst-jpg_s150x150_tt6&amp;efg=eyJ2ZW5jb2RlX3RhZyI6InByb2ZpbGVfcGljLmRqYW5nby4xMDgwLmMyIn0&amp;_nc_ht=instagram.fcgh5-1.fna.fbcdn.net&amp;_nc_cat=110&amp;_nc_oc=Q6cZ2gEQVB9n0jTIBywDOyfBVy2DGLDTpMIrLPEbquc-m3LvP6QkZiAU86As6PsHp1zULHDP5p41cYuZd_xrlAWKoKQm&amp;_nc_ohc=NBf6GBnvS38Q7kNvwEQF54e&amp;_nc_gid=Pca3W9M5sbap0kJO8d26PQ&amp;edm=AI-cjbYBAAAA&amp;ccb=7-5&amp;oh=00_Af242iKsSuoLp2pLCznz50wJEdDcR-D0Dflu0WwWXhzmNQ&amp;oe=69D8DA18&amp;_nc_sid=0985b0</t>
  </si>
  <si>
    <t>ione.lula</t>
  </si>
  <si>
    <t>👏🏽👏🏽👏🏽👏🏽amei</t>
  </si>
  <si>
    <t>18/04/2019, 21:09:47</t>
  </si>
  <si>
    <t>https://www.instagram.com/ione.lula</t>
  </si>
  <si>
    <t>https://instagram.fcgh5-2.fna.fbcdn.net/v/t51.2885-19/54513813_407980506652819_3620891854137982976_n.jpg?stp=dst-jpg_s150x150_tt6&amp;efg=eyJ2ZW5jb2RlX3RhZyI6InByb2ZpbGVfcGljLmRqYW5nby42NDAuYzIifQ&amp;_nc_ht=instagram.fcgh5-2.fna.fbcdn.net&amp;_nc_cat=107&amp;_nc_oc=Q6cZ2gGD1-RzlqG9o9x9hMEWCCZhKE51cZ6t3-jk1zMdEVqBFgnkhLV26LillWjz4_K2Krty7pw5EHaojS8elKo9GtCl&amp;_nc_ohc=cEEOUIKjamwQ7kNvwHa_cQc&amp;_nc_gid=Pwu9E8H3Z_z3lLIKPIqHeQ&amp;edm=AI-cjbYBAAAA&amp;ccb=7-5&amp;oh=00_Af1cG-QBjqMc4ag39pKXcdFKX3fAoCPYwzfXxRxDoOMQww&amp;oe=69D8C661&amp;_nc_sid=0985b0</t>
  </si>
  <si>
    <t>18/04/2019, 21:10:05</t>
  </si>
  <si>
    <t>otimalimpeza</t>
  </si>
  <si>
    <t>👏</t>
  </si>
  <si>
    <t>27/01/2018, 00:26:17</t>
  </si>
  <si>
    <t>https://www.instagram.com/otimalimpeza</t>
  </si>
  <si>
    <t>https://instagram.fcgh5-1.fna.fbcdn.net/v/t51.2885-19/101424787_579171439671887_5698473328847618048_n.jpg?stp=dst-jpg_s150x150_tt6&amp;efg=eyJ2ZW5jb2RlX3RhZyI6InByb2ZpbGVfcGljLmRqYW5nby4xMDEwLmMyIn0&amp;_nc_ht=instagram.fcgh5-1.fna.fbcdn.net&amp;_nc_cat=111&amp;_nc_oc=Q6cZ2gFSJEXRXDzyWQq4j7UaOW84AUYxvYs13Sl-_qBITJZEjrXZx-Tg8RBgQVEa2aF-lEkfOBrcyTPeuiLRwrW8Aysc&amp;_nc_ohc=KIZXkZZc2sMQ7kNvwEIuao3&amp;_nc_gid=AV98-mZxzUIyCp7k3aPAsA&amp;edm=AI-cjbYBAAAA&amp;ccb=7-5&amp;oh=00_Af3T-ERlr4G5jsABBCmR5L2ARfbps33A4YY22dTUfZrfqw&amp;oe=69D8E494&amp;_nc_sid=0985b0</t>
  </si>
  <si>
    <t>soullunasemijoias</t>
  </si>
  <si>
    <t>19/01/2018, 22:13:57</t>
  </si>
  <si>
    <t>https://www.instagram.com/soullunasemijoias</t>
  </si>
  <si>
    <t>https://instagram.fcgh5-1.fna.fbcdn.net/v/t51.82787-19/611395040_18546591259007410_6906487186547146092_n.jpg?stp=dst-jpg_s150x150_tt6&amp;efg=eyJ2ZW5jb2RlX3RhZyI6InByb2ZpbGVfcGljLmRqYW5nby41ODMuYzIifQ&amp;_nc_ht=instagram.fcgh5-1.fna.fbcdn.net&amp;_nc_cat=110&amp;_nc_oc=Q6cZ2gFALZUBIMv9Manm4-SwXhQv-aoGo9Rsa5_xwr6YxCemkD3YW0SoUzuCi07c3JJLE-X2TGwdMWT4__g8ugx3XSTl&amp;_nc_ohc=Msl72SIwjqAQ7kNvwEVrrxJ&amp;_nc_gid=-NaWwiFEEoqt-MBAY2nTXg&amp;edm=AI-cjbYBAAAA&amp;ccb=7-5&amp;oh=00_Af34EVmTRsgzlJn2__XY1Qk-uBT9EEYdeemE7KmGpjuMuA&amp;oe=69D8D29D&amp;_nc_sid=0985b0</t>
  </si>
  <si>
    <t>clemeringue</t>
  </si>
  <si>
    <t>Whaou 😍</t>
  </si>
  <si>
    <t>06/02/2018, 05:42:26</t>
  </si>
  <si>
    <t>https://www.instagram.com/clemeringue</t>
  </si>
  <si>
    <t>https://instagram.fcgh5-1.fna.fbcdn.net/v/t51.2885-19/160888959_518360665817447_5578145959224805814_n.jpg?stp=dst-jpg_s150x150_tt6&amp;efg=eyJ2ZW5jb2RlX3RhZyI6InByb2ZpbGVfcGljLmRqYW5nby4xMDgwLmMyIn0&amp;_nc_ht=instagram.fcgh5-1.fna.fbcdn.net&amp;_nc_cat=111&amp;_nc_oc=Q6cZ2gH4MkT0Z2fKZlBNd5M_c0MpQRCt9VJ6OdIT3ukYHJv8dHSlJW8apim2dz6Jq60_nBxaGLzrbbMiULjDspo3Uwl1&amp;_nc_ohc=yBOwX4fi29oQ7kNvwHf6vmN&amp;_nc_gid=PJ8Th-TQzBFqLtSxTDPHsw&amp;edm=AI-cjbYBAAAA&amp;ccb=7-5&amp;oh=00_Af0q3g1y6CMmrV14VARYRk77ZhvfMbCL3ZxnK_iYMsrkrg&amp;oe=69D8D2F0&amp;_nc_sid=0985b0</t>
  </si>
  <si>
    <t>flaviogeo</t>
  </si>
  <si>
    <t>😉😉</t>
  </si>
  <si>
    <t>01/02/2018, 21:21:37</t>
  </si>
  <si>
    <t>https://www.instagram.com/flaviogeo</t>
  </si>
  <si>
    <t>https://instagram.fcgh5-2.fna.fbcdn.net/v/t51.2885-19/363817989_232687982512119_3271636137459045493_n.jpg?stp=dst-jpg_s150x150_tt6&amp;efg=eyJ2ZW5jb2RlX3RhZyI6InByb2ZpbGVfcGljLmRqYW5nby4xMDgwLmMyIn0&amp;_nc_ht=instagram.fcgh5-2.fna.fbcdn.net&amp;_nc_cat=103&amp;_nc_oc=Q6cZ2gFPiRboorA69LiB3J4EYUFDlXv2z27hVteOYY1x-3RZxBq0znQ9yHnUkPu7UbZrnc8S9_ZkBXhfTgeLbtZxNCTM&amp;_nc_ohc=8lgm2FGP5QMQ7kNvwFuxz2q&amp;_nc_gid=DxD4_JhAp8U7-R9ymWzfbg&amp;edm=AI-cjbYBAAAA&amp;ccb=7-5&amp;oh=00_Af0bCXgx3GQZP1NAF-V9a75dGJDWFbPeL5K1mWH2-4bsTg&amp;oe=69D8C8AB&amp;_nc_sid=0985b0</t>
  </si>
  <si>
    <t>umhost</t>
  </si>
  <si>
    <t>🍀🍀💲</t>
  </si>
  <si>
    <t>02/05/2018, 03:24:05</t>
  </si>
  <si>
    <t>https://www.instagram.com/umhost</t>
  </si>
  <si>
    <t>https://instagram.fcgh5-2.fna.fbcdn.net/v/t51.2885-19/11426215_878345968920148_678253656_a.jpg?stp=dst-jpg_s150x150_tt6&amp;efg=eyJ2ZW5jb2RlX3RhZyI6InByb2ZpbGVfcGljLmRqYW5nby4xNTAuY2FuYXJ5In0&amp;_nc_ht=instagram.fcgh5-2.fna.fbcdn.net&amp;_nc_cat=104&amp;_nc_oc=Q6cZ2gFfY78R9fJcbbMrocIxEA6-lSniVy3kTbkeROlHOUGRciY3zoH_2cKFF0gwQdYvZsXF2cPPJ2R4JzKhzFTTcuXC&amp;_nc_ohc=imeCTY762ysQ7kNvwE52ORc&amp;_nc_gid=EUgFRVi8sN0uKePNbXfoiA&amp;edm=AI-cjbYBAAAA&amp;ccb=7-5&amp;oh=00_Af3MrPpFDHCrfwvvtPa-FE6gHn_OZ7ieoL8fegZ8DBI3mw&amp;oe=69D8DE17&amp;_nc_sid=0985b0</t>
  </si>
  <si>
    <t>https://instagram.fcgh5-2.fna.fbcdn.net/v/t51.2885-19/11426215_878345968920148_678253656_a.jpg?stp=dst-jpg_s150x150_tt6&amp;efg=eyJ2ZW5jb2RlX3RhZyI6InByb2ZpbGVfcGljLmRqYW5nby4xNTAuYzIifQ&amp;_nc_ht=instagram.fcgh5-2.fna.fbcdn.net&amp;_nc_cat=104&amp;_nc_oc=Q6cZ2gFlgS22WVsdsLywKzthBKAKp5DSa6TWN3yAb25ywD7plcKFfpTxi5kCBCj61yO_W1aklUj83Fm1pDpeuDmNB4e4&amp;_nc_ohc=imeCTY762ysQ7kNvwE52ORc&amp;_nc_gid=_E5QloF1EsHZ_oXhdmrvaA&amp;edm=AI-cjbYBAAAA&amp;ccb=7-5&amp;oh=00_Af0YwQO6zEyp-4CSNZ9AtX5gqtTdGjToHtely8uVOfxfng&amp;oe=69D8DE17&amp;_nc_sid=0985b0</t>
  </si>
  <si>
    <t>22/01/2018, 14:09:42</t>
  </si>
  <si>
    <t>https://instagram.fcgh5-1.fna.fbcdn.net/v/t51.2885-19/275419691_148871877601966_5232672707760290115_n.jpg?stp=dst-jpg_s150x150_tt6&amp;efg=eyJ2ZW5jb2RlX3RhZyI6InByb2ZpbGVfcGljLmRqYW5nby44OTIuYzIifQ&amp;_nc_ht=instagram.fcgh5-1.fna.fbcdn.net&amp;_nc_cat=110&amp;_nc_oc=Q6cZ2gHfITy5T4uv3TtUhyZVTmaKqq25r6Vya-0IKlDsJZO4lnNJA9ya5Wkyr6IglfWJU_2wlBr7UyC_uDnaTsFOZFJC&amp;_nc_ohc=_hLKrwC1Va4Q7kNvwFvqdI3&amp;_nc_gid=Bx50bs1n0SAIEUXY_xZyGA&amp;edm=AI-cjbYBAAAA&amp;ccb=7-5&amp;oh=00_Af328LFLckiXsR_Sam8InfFDftoX7_e1ETkQ1xs0IEBaRA&amp;oe=69D8B848&amp;_nc_sid=0985b0</t>
  </si>
  <si>
    <t>viajepelorn</t>
  </si>
  <si>
    <t>👏🏻👏🏻</t>
  </si>
  <si>
    <t>22/01/2018, 14:47:14</t>
  </si>
  <si>
    <t>https://www.instagram.com/viajepelorn</t>
  </si>
  <si>
    <t>https://instagram.fcgh5-1.fna.fbcdn.net/v/t51.2885-19/11352021_1648245575464678_245350189_a.jpg?stp=dst-jpg_s150x150_tt6&amp;efg=eyJ2ZW5jb2RlX3RhZyI6InByb2ZpbGVfcGljLmRqYW5nby4xNTIuYzIifQ&amp;_nc_ht=instagram.fcgh5-1.fna.fbcdn.net&amp;_nc_cat=110&amp;_nc_oc=Q6cZ2gHfITy5T4uv3TtUhyZVTmaKqq25r6Vya-0IKlDsJZO4lnNJA9ya5Wkyr6IglfWJU_2wlBr7UyC_uDnaTsFOZFJC&amp;_nc_ohc=VhhqmubRbikQ7kNvwHHOeT9&amp;_nc_gid=Bx50bs1n0SAIEUXY_xZyGA&amp;edm=AI-cjbYBAAAA&amp;ccb=7-5&amp;oh=00_Af2x6PPHgLMv0hd-VhVhyrjFzd4wIj9WSWdy21tyoLPNrg&amp;oe=69D8B599&amp;_nc_sid=0985b0</t>
  </si>
  <si>
    <t>rrs.institutoecursos</t>
  </si>
  <si>
    <t>👏👏👏👏😱😱</t>
  </si>
  <si>
    <t>22/01/2018, 19:15:50</t>
  </si>
  <si>
    <t>https://www.instagram.com/rrs.institutoecursos</t>
  </si>
  <si>
    <t>https://instagram.fcgh5-2.fna.fbcdn.net/v/t51.2885-19/400820835_322515757175274_2482249037964843851_n.jpg?stp=dst-jpg_s150x150_tt6&amp;efg=eyJ2ZW5jb2RlX3RhZyI6InByb2ZpbGVfcGljLmRqYW5nby4xMDgwLmMyIn0&amp;_nc_ht=instagram.fcgh5-2.fna.fbcdn.net&amp;_nc_cat=106&amp;_nc_oc=Q6cZ2gHfITy5T4uv3TtUhyZVTmaKqq25r6Vya-0IKlDsJZO4lnNJA9ya5Wkyr6IglfWJU_2wlBr7UyC_uDnaTsFOZFJC&amp;_nc_ohc=RkID2CBCX5YQ7kNvwGhNaPR&amp;_nc_gid=Bx50bs1n0SAIEUXY_xZyGA&amp;edm=AI-cjbYBAAAA&amp;ccb=7-5&amp;oh=00_Af2YgDnPfA16d2FW-PoxXG6Ul_JfgMq75E6Q_NiWiVWcHw&amp;oe=69D8DDED&amp;_nc_sid=0985b0</t>
  </si>
  <si>
    <t>heapwellsuperfoods</t>
  </si>
  <si>
    <t>Wow revistaembarque</t>
  </si>
  <si>
    <t>23/01/2018, 14:30:43</t>
  </si>
  <si>
    <t>https://www.instagram.com/heapwellsuperfoods</t>
  </si>
  <si>
    <t>https://instagram.fcgh5-2.fna.fbcdn.net/v/t51.2885-19/56985607_799662283736352_7899310048441008128_n.jpg?stp=dst-jpg_s150x150_tt6&amp;efg=eyJ2ZW5jb2RlX3RhZyI6InByb2ZpbGVfcGljLmRqYW5nby4xMDAwLmMyIn0&amp;_nc_ht=instagram.fcgh5-2.fna.fbcdn.net&amp;_nc_cat=100&amp;_nc_oc=Q6cZ2gHfITy5T4uv3TtUhyZVTmaKqq25r6Vya-0IKlDsJZO4lnNJA9ya5Wkyr6IglfWJU_2wlBr7UyC_uDnaTsFOZFJC&amp;_nc_ohc=xPJZq_dEEvQQ7kNvwGkx_LM&amp;_nc_gid=Bx50bs1n0SAIEUXY_xZyGA&amp;edm=AI-cjbYBAAAA&amp;ccb=7-5&amp;oh=00_Af23gWasHZzXLNMLJirUZbyaaqZG2Sxwoi6Ztrn-WxAdBg&amp;oe=69D8B2D0&amp;_nc_sid=0985b0</t>
  </si>
  <si>
    <t>https://instagram.fcgh5-1.fna.fbcdn.net/v/t51.2885-19/275419691_148871877601966_5232672707760290115_n.jpg?stp=dst-jpg_s150x150_tt6&amp;efg=eyJ2ZW5jb2RlX3RhZyI6InByb2ZpbGVfcGljLmRqYW5nby44OTIuYzIifQ&amp;_nc_ht=instagram.fcgh5-1.fna.fbcdn.net&amp;_nc_cat=110&amp;_nc_oc=Q6cZ2gErIPdhiklNYinW34-4UfLkQAwcOVgbZI9pyUwdbRFEgF38MbfOrqpx3RNYnkox6WaaaRn4aNiX5j2w9PhD_xfM&amp;_nc_ohc=_hLKrwC1Va4Q7kNvwFvqdI3&amp;_nc_gid=QMX6Mu7K9jEM7gz_oMnleg&amp;edm=AI-cjbYBAAAA&amp;ccb=7-5&amp;oh=00_Af36R0-_qmSdSXABspdVU2yU2yK6jTdTLG1-8b8HwgVKOg&amp;oe=69D8B848&amp;_nc_sid=0985b0</t>
  </si>
  <si>
    <t>https://instagram.fcgh5-1.fna.fbcdn.net/v/t51.2885-19/11352021_1648245575464678_245350189_a.jpg?stp=dst-jpg_s150x150_tt6&amp;efg=eyJ2ZW5jb2RlX3RhZyI6InByb2ZpbGVfcGljLmRqYW5nby4xNTIuYzIifQ&amp;_nc_ht=instagram.fcgh5-1.fna.fbcdn.net&amp;_nc_cat=110&amp;_nc_oc=Q6cZ2gErIPdhiklNYinW34-4UfLkQAwcOVgbZI9pyUwdbRFEgF38MbfOrqpx3RNYnkox6WaaaRn4aNiX5j2w9PhD_xfM&amp;_nc_ohc=VhhqmubRbikQ7kNvwHHOeT9&amp;_nc_gid=QMX6Mu7K9jEM7gz_oMnleg&amp;edm=AI-cjbYBAAAA&amp;ccb=7-5&amp;oh=00_Af1zwGxdg6LInIuysavR7D7S1-QJiAq0huC9Y7yYTde9IA&amp;oe=69D8B599&amp;_nc_sid=0985b0</t>
  </si>
  <si>
    <t>https://instagram.fcgh5-2.fna.fbcdn.net/v/t51.2885-19/400820835_322515757175274_2482249037964843851_n.jpg?stp=dst-jpg_s150x150_tt6&amp;efg=eyJ2ZW5jb2RlX3RhZyI6InByb2ZpbGVfcGljLmRqYW5nby4xMDgwLmMyIn0&amp;_nc_ht=instagram.fcgh5-2.fna.fbcdn.net&amp;_nc_cat=106&amp;_nc_oc=Q6cZ2gErIPdhiklNYinW34-4UfLkQAwcOVgbZI9pyUwdbRFEgF38MbfOrqpx3RNYnkox6WaaaRn4aNiX5j2w9PhD_xfM&amp;_nc_ohc=RkID2CBCX5YQ7kNvwGhNaPR&amp;_nc_gid=QMX6Mu7K9jEM7gz_oMnleg&amp;edm=AI-cjbYBAAAA&amp;ccb=7-5&amp;oh=00_Af3DmDfsoi6BclPGHcfJhpKLb8axTxJ-TzyOW2Vc69GKaA&amp;oe=69D8DDED&amp;_nc_sid=0985b0</t>
  </si>
  <si>
    <t>https://instagram.fcgh5-2.fna.fbcdn.net/v/t51.2885-19/56985607_799662283736352_7899310048441008128_n.jpg?stp=dst-jpg_s150x150_tt6&amp;efg=eyJ2ZW5jb2RlX3RhZyI6InByb2ZpbGVfcGljLmRqYW5nby4xMDAwLmMyIn0&amp;_nc_ht=instagram.fcgh5-2.fna.fbcdn.net&amp;_nc_cat=100&amp;_nc_oc=Q6cZ2gErIPdhiklNYinW34-4UfLkQAwcOVgbZI9pyUwdbRFEgF38MbfOrqpx3RNYnkox6WaaaRn4aNiX5j2w9PhD_xfM&amp;_nc_ohc=xPJZq_dEEvQQ7kNvwGkx_LM&amp;_nc_gid=QMX6Mu7K9jEM7gz_oMnleg&amp;edm=AI-cjbYBAAAA&amp;ccb=7-5&amp;oh=00_Af0rhl8VB9T0gXMHMuMPiPxkOXncV96RPeID4GaSB9D6YQ&amp;oe=69D8B2D0&amp;_nc_sid=0985b0</t>
  </si>
  <si>
    <t>guiatrancosonet</t>
  </si>
  <si>
    <t>Oiee blz? Siga-nos tb pra receber as novidades de Trancoso! 🌴🌊🏄🏊🌵🍀🌹🌼🌻🌾☁🌞✈🚁⛵♨</t>
  </si>
  <si>
    <t>25/01/2018, 17:11:34</t>
  </si>
  <si>
    <t>https://www.instagram.com/guiatrancosonet</t>
  </si>
  <si>
    <t>https://instagram.fcgh5-1.fna.fbcdn.net/v/t51.2885-19/26866886_153287558724503_7213223090585600000_n.jpg?stp=dst-jpg_s150x150_tt6&amp;efg=eyJ2ZW5jb2RlX3RhZyI6InByb2ZpbGVfcGljLmRqYW5nby41NDAuYzIifQ&amp;_nc_ht=instagram.fcgh5-1.fna.fbcdn.net&amp;_nc_cat=111&amp;_nc_oc=Q6cZ2gHggRe9MI9hvZRF6qGr5yufFhFUdpMijeVNZS5QGZm22TcmPpBjBT5wih8PvqACRtz_AhmqY1VRf28g_wGye6oJ&amp;_nc_ohc=dxm8pDMxP98Q7kNvwEaybuy&amp;_nc_gid=h0WG2udKXiy6dGdpAk9pjA&amp;edm=AI-cjbYBAAAA&amp;ccb=7-5&amp;oh=00_Af1cDhW3e33vzGf7nEO-vM5Pk6L_Q5LO394h0GXvfsxC0g&amp;oe=69D8C91C&amp;_nc_sid=0985b0</t>
  </si>
  <si>
    <t>flavour.events</t>
  </si>
  <si>
    <t>❤️❤️</t>
  </si>
  <si>
    <t>29/01/2018, 11:50:15</t>
  </si>
  <si>
    <t>https://www.instagram.com/flavour.events</t>
  </si>
  <si>
    <t>https://instagram.fcgh5-1.fna.fbcdn.net/v/t51.2885-19/433739367_1857922834638153_6231524294332689183_n.jpg?stp=dst-jpg_s150x150_tt6&amp;efg=eyJ2ZW5jb2RlX3RhZyI6InByb2ZpbGVfcGljLmRqYW5nby4xMDgwLmMyIn0&amp;_nc_ht=instagram.fcgh5-1.fna.fbcdn.net&amp;_nc_cat=109&amp;_nc_oc=Q6cZ2gHggRe9MI9hvZRF6qGr5yufFhFUdpMijeVNZS5QGZm22TcmPpBjBT5wih8PvqACRtz_AhmqY1VRf28g_wGye6oJ&amp;_nc_ohc=y53Ds0nFSoAQ7kNvwFXkgSa&amp;_nc_gid=h0WG2udKXiy6dGdpAk9pjA&amp;edm=AI-cjbYBAAAA&amp;ccb=7-5&amp;oh=00_Af11np5Tb6a9Silp-mwfv2sgCcajZ1yfkYaxQL6JMxY7Qw&amp;oe=69D8BB5B&amp;_nc_sid=0985b0</t>
  </si>
  <si>
    <t>https://instagram.fcgh5-1.fna.fbcdn.net/v/t51.2885-19/26866886_153287558724503_7213223090585600000_n.jpg?stp=dst-jpg_s150x150_tt6&amp;efg=eyJ2ZW5jb2RlX3RhZyI6InByb2ZpbGVfcGljLmRqYW5nby41NDAuYzIifQ&amp;_nc_ht=instagram.fcgh5-1.fna.fbcdn.net&amp;_nc_cat=111&amp;_nc_oc=Q6cZ2gH6ZynukBVzooQ5ERvj9NegEn-Z-C1RXhZUf6FOhoCP8SseYvuROZYey9hFQ_7xJQWzvo7zP4J9CMZUDFsYVqVc&amp;_nc_ohc=dxm8pDMxP98Q7kNvwEaybuy&amp;_nc_gid=L1guV41SZ2pfxW3XsBnjpw&amp;edm=AI-cjbYBAAAA&amp;ccb=7-5&amp;oh=00_Af38RXcwvbLeUa9vW7L1SwkrUUBOyZhzsCd7I8X7wVYyxg&amp;oe=69D8C91C&amp;_nc_sid=0985b0</t>
  </si>
  <si>
    <t>https://instagram.fcgh5-1.fna.fbcdn.net/v/t51.2885-19/433739367_1857922834638153_6231524294332689183_n.jpg?stp=dst-jpg_s150x150_tt6&amp;efg=eyJ2ZW5jb2RlX3RhZyI6InByb2ZpbGVfcGljLmRqYW5nby4xMDgwLmMyIn0&amp;_nc_ht=instagram.fcgh5-1.fna.fbcdn.net&amp;_nc_cat=109&amp;_nc_oc=Q6cZ2gH6ZynukBVzooQ5ERvj9NegEn-Z-C1RXhZUf6FOhoCP8SseYvuROZYey9hFQ_7xJQWzvo7zP4J9CMZUDFsYVqVc&amp;_nc_ohc=y53Ds0nFSoAQ7kNvwFXkgSa&amp;_nc_gid=L1guV41SZ2pfxW3XsBnjpw&amp;edm=AI-cjbYBAAAA&amp;ccb=7-5&amp;oh=00_Af3GTs7KIWUs8TLNYm34qQMy_aCV94bimoJ9UfvCz7vFYg&amp;oe=69D8BB5B&amp;_nc_sid=0985b0</t>
  </si>
  <si>
    <t>wisemidia</t>
  </si>
  <si>
    <t>@fabiomiranda18 @fabriciosantorini</t>
  </si>
  <si>
    <t>03/03/2018, 11:31:15</t>
  </si>
  <si>
    <t>https://www.instagram.com/wisemidia</t>
  </si>
  <si>
    <t>https://instagram.fcgh5-2.fna.fbcdn.net/v/t51.2885-19/36136023_189590688402495_4342940259630186496_n.jpg?stp=dst-jpg_s150x150_tt6&amp;efg=eyJ2ZW5jb2RlX3RhZyI6InByb2ZpbGVfcGljLmRqYW5nby45MDAuYzIifQ&amp;_nc_ht=instagram.fcgh5-2.fna.fbcdn.net&amp;_nc_cat=103&amp;_nc_oc=Q6cZ2gF9q079IwEgSzTbQmzX_ClXZw7oRu_gEzEwxT_LT0WtcIvTbEab-SITfI_kyBFjGXswiMSzS9EQ6Kd-2uFOrrsm&amp;_nc_ohc=roIw8G3i3woQ7kNvwHj9vgl&amp;_nc_gid=wj7AphuPKRe59JR8O0jYaw&amp;edm=AI-cjbYBAAAA&amp;ccb=7-5&amp;oh=00_Af1qMwA6cDLQLSGaz7C7ms0PLFSCI_vVbMk-opE66ljoGQ&amp;oe=69D8DFDC&amp;_nc_sid=0985b0</t>
  </si>
  <si>
    <t>https://instagram.fcgh5-2.fna.fbcdn.net/v/t51.2885-19/36136023_189590688402495_4342940259630186496_n.jpg?stp=dst-jpg_s150x150_tt6&amp;efg=eyJ2ZW5jb2RlX3RhZyI6InByb2ZpbGVfcGljLmRqYW5nby45MDAuYzIifQ&amp;_nc_ht=instagram.fcgh5-2.fna.fbcdn.net&amp;_nc_cat=103&amp;_nc_oc=Q6cZ2gFQKK1vydJx3pezqEvscttK0k0nQhE07PAW1CJCUa_UUKJ-YfLMsTA8SA0TdMbptfnczFOKQLxQMa8BuPH6LaSk&amp;_nc_ohc=roIw8G3i3woQ7kNvwHj9vgl&amp;_nc_gid=ANs5pVDJml59HegpCdqRug&amp;edm=AI-cjbYBAAAA&amp;ccb=7-5&amp;oh=00_Af2RQ9gBKjagzifQ189yRR5wHMXi7JJfjb9gKaRBwILQIg&amp;oe=69D8DFDC&amp;_nc_sid=0985b0</t>
  </si>
  <si>
    <t>lucaslimapjl</t>
  </si>
  <si>
    <t>Revista 𝐖 𝐖 𝐖14 . 𝐂 𝐔 𝐑 𝐓 𝐈 𝐃 𝐀 𝐒 𝐑 𝐄 𝐀 𝐈 𝐒 . 𝐂𝐎𝐌#ORd1M #Smb7N</t>
  </si>
  <si>
    <t>11/03/2018, 16:00:59</t>
  </si>
  <si>
    <t>https://www.instagram.com/lucaslimapjl</t>
  </si>
  <si>
    <t>https://instagram.fbau6-1.fna.fbcdn.net/v/t51.2885-19/573323465_1219825463302212_7278921664109726296_n.png?stp=dst-jpg_e0_s150x150_tt6&amp;efg=eyJ2ZW5jb2RlX3RhZyI6InByb2ZpbGVfcGljLmRqYW5nby4xNTAuYzIifQ&amp;_nc_ht=instagram.fbau6-1.fna.fbcdn.net&amp;_nc_cat=1&amp;_nc_oc=Q6cZ2gECYhAjIhse2fvf_lJmgOmpdnx89XtWtmx6OjIv1YqxaSzkiGV9KWW6kqYIn7JjnJ-iAQwGLC2QauHj0vsDonY6&amp;_nc_ohc=a8xHEXzvkAIQ7kNvwEbT9KN&amp;_nc_gid=ygNA6ZfLeAfdMU4qm-CZGQ&amp;edm=ALlQn9MBAAAA&amp;ccb=7-5&amp;ig_cache_key=YW5vbnltb3VzX3Byb2ZpbGVfcGlj.3-ccb7-5&amp;oh=00_Af3z3UZSDEHYcrCYGTWgPxf7FwzZHjw0sCmB0ZZKd8zEpQ&amp;oe=69D8B26A&amp;_nc_sid=e7f676</t>
  </si>
  <si>
    <t>cuidareipanema_</t>
  </si>
  <si>
    <t>😃✌...</t>
  </si>
  <si>
    <t>25/02/2018, 08:53:32</t>
  </si>
  <si>
    <t>https://www.instagram.com/cuidareipanema_</t>
  </si>
  <si>
    <t>https://instagram.fpoa1-1.fna.fbcdn.net/v/t51.2885-19/573323465_1219825463302212_7278921664109726296_n.png?stp=dst-webp&amp;efg=eyJ2ZW5jb2RlX3RhZyI6InByb2ZpbGVfcGljLmRqYW5nby4xNTAuYzIifQ&amp;_nc_ht=instagram.fpoa1-1.fna.fbcdn.net&amp;_nc_cat=1&amp;_nc_oc=Q6cZ2gHwJJCtiBsalOauJrEgScIMopVAOIBUDdsy4POO_9mqxwbeMCWto_ZBEDX7bvoLwAZ8HLvJ38bvOg71HF_WxUGc&amp;_nc_ohc=a8xHEXzvkAIQ7kNvwGM_0OC&amp;_nc_gid=9HF4WIwGjh5srM_58UF6mg&amp;edm=AHqBGi8BAAAA&amp;ccb=7-5&amp;ig_cache_key=YW5vbnltb3VzX3Byb2ZpbGVfcGlj.3-ccb7-5&amp;oh=00_Af2166WYQgRUm2kBpZXP_HTPxLqRCUDXMgHV-fufQfdG5A&amp;oe=69D8B26A&amp;_nc_sid=1fce60</t>
  </si>
  <si>
    <t>virounoticia</t>
  </si>
  <si>
    <t>Boaaa</t>
  </si>
  <si>
    <t>21/02/2018, 21:13:35</t>
  </si>
  <si>
    <t>https://www.instagram.com/virounoticia</t>
  </si>
  <si>
    <t>https://instagram.fcgh5-2.fna.fbcdn.net/v/t51.2885-19/382976799_844279787052411_8164380217575866357_n.jpg?stp=dst-jpg_s150x150_tt6&amp;efg=eyJ2ZW5jb2RlX3RhZyI6InByb2ZpbGVfcGljLmRqYW5nby4xMDgwLmMyIn0&amp;_nc_ht=instagram.fcgh5-2.fna.fbcdn.net&amp;_nc_cat=103&amp;_nc_oc=Q6cZ2gFir7uwBuCfdLBZmXwu7QFFCpVSgRxHDV_rbCCt1pW_aCq4JgmY4T-CcAakQWSScZNzaLPFV2m-2AWTmUHIEHVy&amp;_nc_ohc=rG-tVQzD1a4Q7kNvwGxVbmN&amp;_nc_gid=1HbCdwMDax9evHVp4-4s7A&amp;edm=AI-cjbYBAAAA&amp;ccb=7-5&amp;oh=00_Af17MR-zjByWfrZk5CI_DgZBwAxqPrB1MVrzWHNPabw9qw&amp;oe=69D8E06E&amp;_nc_sid=0985b0</t>
  </si>
  <si>
    <t>pousadavilladagloria</t>
  </si>
  <si>
    <t>👍 👏</t>
  </si>
  <si>
    <t>22/02/2018, 01:36:47</t>
  </si>
  <si>
    <t>https://www.instagram.com/pousadavilladagloria</t>
  </si>
  <si>
    <t>https://instagram.fcgh5-2.fna.fbcdn.net/v/t51.82787-19/619213882_18420873826186584_1069627355709322849_n.jpg?stp=dst-jpg_s150x150_tt6&amp;efg=eyJ2ZW5jb2RlX3RhZyI6InByb2ZpbGVfcGljLmRqYW5nby40MDguYzIifQ&amp;_nc_ht=instagram.fcgh5-2.fna.fbcdn.net&amp;_nc_cat=100&amp;_nc_oc=Q6cZ2gFOg2kGj8N4YrSzvIu5kjVjpsG93YVVLZoBwrU2cbQmB6c5-G27i8-Euzzw4LmbzdGyuWnWSxcz06HVy4viR8lW&amp;_nc_ohc=SnRoDAhdw1wQ7kNvwFYVF4q&amp;_nc_gid=Zc-QpOofuGdmCu1lXQXdRg&amp;edm=AI-cjbYBAAAA&amp;ccb=7-5&amp;oh=00_Af1Zbhx8RLzGrrkSZ3z4TtdkgFiRCL8E2qWMjs7hOEc7kw&amp;oe=69D8D043&amp;_nc_sid=0985b0</t>
  </si>
  <si>
    <t>selfhotel</t>
  </si>
  <si>
    <t>Conheça também outros conteúdos hoteleiros</t>
  </si>
  <si>
    <t>20/03/2018, 13:21:36</t>
  </si>
  <si>
    <t>https://www.instagram.com/selfhotel</t>
  </si>
  <si>
    <t>https://instagram.fcgh5-2.fna.fbcdn.net/v/t51.2885-19/347325514_892012371899380_7101971567672824703_n.jpg?stp=dst-jpg_s150x150_tt6&amp;efg=eyJ2ZW5jb2RlX3RhZyI6InByb2ZpbGVfcGljLmRqYW5nby4zMjAuYzIifQ&amp;_nc_ht=instagram.fcgh5-2.fna.fbcdn.net&amp;_nc_cat=104&amp;_nc_oc=Q6cZ2gGgL6Eby6IUCLKrDWTxpTsMtnBTyDvV2o2Ygowtx4ofbgUvenf_k7bqr3121mKSPUL_jht4EsP3QoW-vXA3AWHp&amp;_nc_ohc=HsbRHDZsq4sQ7kNvwFMbOcR&amp;_nc_gid=oOA-YDlO8uVcvwq5jV19aQ&amp;edm=AI-cjbYBAAAA&amp;ccb=7-5&amp;oh=00_Af1-N_QJY-IFCjNHjFmHAxmEb0qpCOw2NBKZJ-45L67u-g&amp;oe=69D8E1CB&amp;_nc_sid=0985b0</t>
  </si>
  <si>
    <t>tattooilton</t>
  </si>
  <si>
    <t>Curti demais depois da uma olhada na meu instagram acho que vai curtir 😝</t>
  </si>
  <si>
    <t>04/04/2018, 22:45:06</t>
  </si>
  <si>
    <t>https://www.instagram.com/tattooilton</t>
  </si>
  <si>
    <t>https://instagram.fcgh5-2.fna.fbcdn.net/v/t51.2885-19/28152909_428290660937749_8752968818956959744_n.jpg?stp=dst-jpg_s150x150_tt6&amp;efg=eyJ2ZW5jb2RlX3RhZyI6InByb2ZpbGVfcGljLmRqYW5nby42MzAuYzIifQ&amp;_nc_ht=instagram.fcgh5-2.fna.fbcdn.net&amp;_nc_cat=101&amp;_nc_oc=Q6cZ2gGIviJPGRMs4hg09Mpj7_DOJv_iSVdcrx-huCampMAOPqbh5TvN1d8cutfgMVBZsSm5kYwAYwCJB4ehZGzT7IgW&amp;_nc_ohc=muetfFykYuwQ7kNvwELReOF&amp;_nc_gid=o4XZXatuqCZak5RLxGFARw&amp;edm=AI-cjbYBAAAA&amp;ccb=7-5&amp;oh=00_Af3_fAOgkVCupL4BiuXbqzzXhwbW7i3LkDZbtxJ4ryxM6Q&amp;oe=69D8D590&amp;_nc_sid=0985b0</t>
  </si>
  <si>
    <t>olgabritto_oficial</t>
  </si>
  <si>
    <t>✈🌎</t>
  </si>
  <si>
    <t>20/03/2018, 18:07:15</t>
  </si>
  <si>
    <t>https://www.instagram.com/olgabritto_oficial</t>
  </si>
  <si>
    <t>https://instagram.fcgh5-1.fna.fbcdn.net/v/t51.82787-19/629520142_18359773138207114_8007172370138301887_n.jpg?stp=dst-jpg_s150x150_tt6&amp;efg=eyJ2ZW5jb2RlX3RhZyI6InByb2ZpbGVfcGljLmRqYW5nby44MTguYzIifQ&amp;_nc_ht=instagram.fcgh5-1.fna.fbcdn.net&amp;_nc_cat=110&amp;_nc_oc=Q6cZ2gFsi4bTIZ3HLi5BxLLkJd6p5htI6KYwj4kp39Qpw6NxGWdP5kd7Kwu9ysc5GDOlZ1d7lUs7qhQuXWjJDZFRkrKR&amp;_nc_ohc=ctzDTjoncBsQ7kNvwGyQf3p&amp;_nc_gid=ssD-AHTj4rSSB8JcDq4GSQ&amp;edm=AI-cjbYBAAAA&amp;ccb=7-5&amp;oh=00_Af2LYBZhqVVhIeOG5OZcwa4QaFFDALcrDUsFPkccDX89_A&amp;oe=69D8DD64&amp;_nc_sid=0985b0</t>
  </si>
  <si>
    <t>clubbinginasia</t>
  </si>
  <si>
    <t>❤</t>
  </si>
  <si>
    <t>23/03/2018, 12:08:41</t>
  </si>
  <si>
    <t>https://www.instagram.com/clubbinginasia</t>
  </si>
  <si>
    <t>https://instagram.fcgh5-1.fna.fbcdn.net/v/t51.2885-19/426978808_728382452693134_369812645275278883_n.jpg?stp=dst-jpg_s150x150_tt6&amp;efg=eyJ2ZW5jb2RlX3RhZyI6InByb2ZpbGVfcGljLmRqYW5nby4xMDgwLmMyIn0&amp;_nc_ht=instagram.fcgh5-1.fna.fbcdn.net&amp;_nc_cat=110&amp;_nc_oc=Q6cZ2gFsi4bTIZ3HLi5BxLLkJd6p5htI6KYwj4kp39Qpw6NxGWdP5kd7Kwu9ysc5GDOlZ1d7lUs7qhQuXWjJDZFRkrKR&amp;_nc_ohc=vewPashKI4sQ7kNvwFE_HSP&amp;_nc_gid=ssD-AHTj4rSSB8JcDq4GSQ&amp;edm=AI-cjbYBAAAA&amp;ccb=7-5&amp;oh=00_Af0kd-vOP3G3T1rz8rvfGSB-S8S0u-QIzNegGeHhVFJVIA&amp;oe=69D8D39B&amp;_nc_sid=0985b0</t>
  </si>
  <si>
    <t>drengr.loja</t>
  </si>
  <si>
    <t>Gostei!!! Estou adorando as suas postagens ☺</t>
  </si>
  <si>
    <t>15/03/2018, 05:08:27</t>
  </si>
  <si>
    <t>https://www.instagram.com/drengr.loja</t>
  </si>
  <si>
    <t>https://instagram.fcgh5-1.fna.fbcdn.net/v/t51.82787-19/637702874_18360656155207199_4888330529149726900_n.jpg?stp=dst-jpg_s150x150_tt6&amp;efg=eyJ2ZW5jb2RlX3RhZyI6InByb2ZpbGVfcGljLmRqYW5nby4xMDI0LmMyIn0&amp;_nc_ht=instagram.fcgh5-1.fna.fbcdn.net&amp;_nc_cat=111&amp;_nc_oc=Q6cZ2gG58f6Z4NKhfoCZIj6GZpJPIpEd_4zHoZVftF07-3h343gKPg5OK-9MqADj7Q9jraOYi4Y1Rlm5G8iUw5PgRwEA&amp;_nc_ohc=GLnH2o26M1gQ7kNvwEku5aS&amp;_nc_gid=mnK1QC78j3Vab1YISQPrAg&amp;edm=AI-cjbYBAAAA&amp;ccb=7-5&amp;oh=00_Af1O-KBrACWw8B8ekAYmEM3bpUQ2QmR9biYMiNr949VciA&amp;oe=69D8E5DC&amp;_nc_sid=0985b0</t>
  </si>
  <si>
    <t>thiagoal955</t>
  </si>
  <si>
    <t>@luizfernando_oliveira22</t>
  </si>
  <si>
    <t>01/04/2019, 19:50:56</t>
  </si>
  <si>
    <t>https://www.instagram.com/thiagoal955</t>
  </si>
  <si>
    <t>https://instagram.fcgh5-1.fna.fbcdn.net/v/t51.82787-19/659005304_18399684172197512_973162819919762883_n.jpg?stp=dst-jpg_s150x150_tt6&amp;efg=eyJ2ZW5jb2RlX3RhZyI6InByb2ZpbGVfcGljLmRqYW5nby4xMDgwLmMyIn0&amp;_nc_ht=instagram.fcgh5-1.fna.fbcdn.net&amp;_nc_cat=108&amp;_nc_oc=Q6cZ2gG58f6Z4NKhfoCZIj6GZpJPIpEd_4zHoZVftF07-3h343gKPg5OK-9MqADj7Q9jraOYi4Y1Rlm5G8iUw5PgRwEA&amp;_nc_ohc=pTHxE6SpO1QQ7kNvwE5EHay&amp;_nc_gid=mnK1QC78j3Vab1YISQPrAg&amp;edm=AI-cjbYBAAAA&amp;ccb=7-5&amp;oh=00_Af0A6sEq-e92lIrBXrCWntN6aHd-txlO0hrGfW3n2-DQuQ&amp;oe=69D8D518&amp;_nc_sid=0985b0</t>
  </si>
  <si>
    <t>tom_rufino</t>
  </si>
  <si>
    <t>show revistaembarque</t>
  </si>
  <si>
    <t>24/04/2018, 18:51:34</t>
  </si>
  <si>
    <t>https://www.instagram.com/tom_rufino</t>
  </si>
  <si>
    <t>https://instagram.fcgh5-1.fna.fbcdn.net/v/t51.82787-19/649213394_18458886970102094_6533696131538203178_n.jpg?stp=dst-jpg_s150x150_tt6&amp;efg=eyJ2ZW5jb2RlX3RhZyI6InByb2ZpbGVfcGljLmRqYW5nby4xMDQ4LmMyIn0&amp;_nc_ht=instagram.fcgh5-1.fna.fbcdn.net&amp;_nc_cat=102&amp;_nc_oc=Q6cZ2gG8ZfLCsVQA-aeufTAXUsH7u_prAC9r3ZJg9GZ-koEGRYOWfvBuAb6l2Guii_OJIY3tRQlnWOca_EdwdQwMphpR&amp;_nc_ohc=ncKAQYeacv8Q7kNvwGrg1oG&amp;_nc_gid=0kPd546xHqQnIPh8d1NqXA&amp;edm=AI-cjbYBAAAA&amp;ccb=7-5&amp;oh=00_Af2gKvYvMAGpKx3JJvegjVGWMIqu1uT9VCO16Y07wFuWtQ&amp;oe=69D8C91E&amp;_nc_sid=0985b0</t>
  </si>
  <si>
    <t>heisenbeercerveja</t>
  </si>
  <si>
    <t>Cheers 🍻</t>
  </si>
  <si>
    <t>02/04/2018, 17:43:09</t>
  </si>
  <si>
    <t>https://www.instagram.com/heisenbeercerveja</t>
  </si>
  <si>
    <t>https://instagram.fcgh5-2.fna.fbcdn.net/v/t51.2885-19/44248989_175486850043772_5512966398478909440_n.jpg?stp=dst-jpg_s150x150_tt6&amp;efg=eyJ2ZW5jb2RlX3RhZyI6InByb2ZpbGVfcGljLmRqYW5nby44MDAuYzIifQ&amp;_nc_ht=instagram.fcgh5-2.fna.fbcdn.net&amp;_nc_cat=104&amp;_nc_oc=Q6cZ2gGYcfoT339s2lsL_m3pBJ4JzBkyw8PD7V65WUDTKJAmYdMe9l2m_eHqNEoJNSWMvt2OuxKirG5JNp4wRSdTbS26&amp;_nc_ohc=yFhE0qEFAB8Q7kNvwGqoZOm&amp;_nc_gid=yIwz3FW4RZ9H0I_5-rlJ0w&amp;edm=AI-cjbYBAAAA&amp;ccb=7-5&amp;oh=00_Af0Z2LOwPtiRNXOmlNWJSTUbWsJJGPGFpN-OVjeLC9rLQw&amp;oe=69D8B616&amp;_nc_sid=0985b0</t>
  </si>
  <si>
    <t>itsjayclark</t>
  </si>
  <si>
    <t>✅...</t>
  </si>
  <si>
    <t>13/04/2018, 17:39:49</t>
  </si>
  <si>
    <t>https://www.instagram.com/itsjayclark</t>
  </si>
  <si>
    <t>https://instagram.fcgh5-1.fna.fbcdn.net/v/t51.2885-19/363501675_194595563371892_7505523162639512938_n.jpg?stp=dst-jpg_s150x150_tt6&amp;efg=eyJ2ZW5jb2RlX3RhZyI6InByb2ZpbGVfcGljLmRqYW5nby4xMDgwLmMyIn0&amp;_nc_ht=instagram.fcgh5-1.fna.fbcdn.net&amp;_nc_cat=108&amp;_nc_oc=Q6cZ2gHtGXDgG947BiLVZlxOCTbi5vZ18JfujawDddXsKOlXvtqFjDzAoBnc02witgLbM_PzKYtxe6D25iUhPqyNP7U4&amp;_nc_ohc=4YH65-W6TtsQ7kNvwEPi19I&amp;_nc_gid=hUVZ8XTG34RJ2D_f43u7ww&amp;edm=AI-cjbYBAAAA&amp;ccb=7-5&amp;oh=00_Af1ErmQFkrKUnYuGarv5KuJUkT1EMwNoOCEibsLV6jpttw&amp;oe=69D8BF2F&amp;_nc_sid=0985b0</t>
  </si>
  <si>
    <t>https://instagram.fcgh5-1.fna.fbcdn.net/v/t51.2885-19/363501675_194595563371892_7505523162639512938_n.jpg?stp=dst-jpg_s150x150_tt6&amp;efg=eyJ2ZW5jb2RlX3RhZyI6InByb2ZpbGVfcGljLmRqYW5nby4xMDgwLmMyIn0&amp;_nc_ht=instagram.fcgh5-1.fna.fbcdn.net&amp;_nc_cat=108&amp;_nc_oc=Q6cZ2gGjKU24eNXvhrgIN1fKKFoak36imUBgJELC21v0QkbVqtojTzpN38pQBujaj6hKeeFaF2ctSqsRPtBzK9iln6vN&amp;_nc_ohc=4YH65-W6TtsQ7kNvwEPi19I&amp;_nc_gid=M_XtBWpm-w_V-9EkGYygUw&amp;edm=AI-cjbYBAAAA&amp;ccb=7-5&amp;oh=00_Af0TiHVSxk4KJfR5JxsyeLDo29xoelLkrvvV22KEkUfzYw&amp;oe=69D8BF2F&amp;_nc_sid=0985b0</t>
  </si>
  <si>
    <t>marinamartinsme</t>
  </si>
  <si>
    <t>@stefanomarcos @crisvieira034 @muradilaura olha!!!!</t>
  </si>
  <si>
    <t>06/04/2018, 13:50:21</t>
  </si>
  <si>
    <t>https://www.instagram.com/marinamartinsme</t>
  </si>
  <si>
    <t>https://instagram.fcgh5-2.fna.fbcdn.net/v/t51.2885-19/327746588_1161102557941411_4386154410838513174_n.jpg?stp=dst-jpg_s150x150_tt6&amp;efg=eyJ2ZW5jb2RlX3RhZyI6InByb2ZpbGVfcGljLmRqYW5nby4zMjYuYzIifQ&amp;_nc_ht=instagram.fcgh5-2.fna.fbcdn.net&amp;_nc_cat=107&amp;_nc_oc=Q6cZ2gE3CLdxdzJJqUqZ0pgKjPPmdKFYysoKjJFKjXzEoP9ccYZwtNm1KG-r_r636lBZvGukAf8yTlbMtsVlXsXRpI2d&amp;_nc_ohc=BZjaAoKPUa8Q7kNvwF9ipxN&amp;_nc_gid=M2-fsCGF_H0BHr9qcboNeQ&amp;edm=AI-cjbYBAAAA&amp;ccb=7-5&amp;oh=00_Af0gem0rmkZgkmfVPbcWTpz0p0E-MrWEJLtBfecB-fAzbg&amp;oe=69D8CC2C&amp;_nc_sid=0985b0</t>
  </si>
  <si>
    <t>muradilaura</t>
  </si>
  <si>
    <t>@martinsmarinaf Tks Marina!!! ❤️</t>
  </si>
  <si>
    <t>06/04/2018, 20:58:09</t>
  </si>
  <si>
    <t>https://www.instagram.com/muradilaura</t>
  </si>
  <si>
    <t>https://instagram.fcgh5-2.fna.fbcdn.net/v/t51.2885-19/16230523_756302781184915_2789301252654104576_a.jpg?stp=dst-jpg_s150x150_tt6&amp;efg=eyJ2ZW5jb2RlX3RhZyI6InByb2ZpbGVfcGljLmRqYW5nby43NTAuYzIifQ&amp;_nc_ht=instagram.fcgh5-2.fna.fbcdn.net&amp;_nc_cat=107&amp;_nc_oc=Q6cZ2gE3CLdxdzJJqUqZ0pgKjPPmdKFYysoKjJFKjXzEoP9ccYZwtNm1KG-r_r636lBZvGukAf8yTlbMtsVlXsXRpI2d&amp;_nc_ohc=9bgREl9GcJcQ7kNvwF2Hif-&amp;_nc_gid=M2-fsCGF_H0BHr9qcboNeQ&amp;edm=AI-cjbYBAAAA&amp;ccb=7-5&amp;oh=00_Af0pwiM7MUzNmyXt5bC_aqQYnLdEYu0U6XbVc1X-UryP6g&amp;oe=69D8D19E&amp;_nc_sid=0985b0</t>
  </si>
  <si>
    <t>https://instagram.fcgh5-2.fna.fbcdn.net/v/t51.2885-19/327746588_1161102557941411_4386154410838513174_n.jpg?stp=dst-jpg_s150x150_tt6&amp;efg=eyJ2ZW5jb2RlX3RhZyI6InByb2ZpbGVfcGljLmRqYW5nby4zMjYuYzIifQ&amp;_nc_ht=instagram.fcgh5-2.fna.fbcdn.net&amp;_nc_cat=107&amp;_nc_oc=Q6cZ2gE5ab2YG7-AP_dWzkWb3E2nkqMHCNIp31WK0hC7-f4Gzqb8Dh9t6UFZ7lKRIHAS--Aeftu0CDMPrPqvIhrWkTOK&amp;_nc_ohc=BZjaAoKPUa8Q7kNvwF9ipxN&amp;_nc_gid=uoCZSfEtzUWYJRj2Gfypbg&amp;edm=AI-cjbYBAAAA&amp;ccb=7-5&amp;oh=00_Af3yUmWC3qwhp2DZiwiF-fjhsoMpDu2Tj4jdzxCfZZS-TA&amp;oe=69D8CC2C&amp;_nc_sid=0985b0</t>
  </si>
  <si>
    <t>https://instagram.fcgh5-2.fna.fbcdn.net/v/t51.2885-19/16230523_756302781184915_2789301252654104576_a.jpg?stp=dst-jpg_s150x150_tt6&amp;efg=eyJ2ZW5jb2RlX3RhZyI6InByb2ZpbGVfcGljLmRqYW5nby43NTAuYzIifQ&amp;_nc_ht=instagram.fcgh5-2.fna.fbcdn.net&amp;_nc_cat=107&amp;_nc_oc=Q6cZ2gE5ab2YG7-AP_dWzkWb3E2nkqMHCNIp31WK0hC7-f4Gzqb8Dh9t6UFZ7lKRIHAS--Aeftu0CDMPrPqvIhrWkTOK&amp;_nc_ohc=9bgREl9GcJcQ7kNvwF2Hif-&amp;_nc_gid=uoCZSfEtzUWYJRj2Gfypbg&amp;edm=AI-cjbYBAAAA&amp;ccb=7-5&amp;oh=00_Af1cvQB0QHJGyMWZEGHnqXH6uUtVjJusNiwtNomwDrKsCQ&amp;oe=69D8D19E&amp;_nc_sid=0985b0</t>
  </si>
  <si>
    <t>syariah_herbal_store04</t>
  </si>
  <si>
    <t>Nice kak, saya suka😊😙
Cek igkita dong 😊😙</t>
  </si>
  <si>
    <t>06/04/2018, 16:14:18</t>
  </si>
  <si>
    <t>https://www.instagram.com/syariah_herbal_store04</t>
  </si>
  <si>
    <t>https://instagram.fcgh5-1.fna.fbcdn.net/v/t51.2885-19/46709361_712634149136138_7002858598904627200_n.jpg?stp=dst-jpg_s150x150_tt6&amp;efg=eyJ2ZW5jb2RlX3RhZyI6InByb2ZpbGVfcGljLmRqYW5nby45NzIuYzIifQ&amp;_nc_ht=instagram.fcgh5-1.fna.fbcdn.net&amp;_nc_cat=102&amp;_nc_oc=Q6cZ2gHqZq9227_U4MzbR33oKVGnRoJWaY1fowBi4nmCSYomZ06iC0KKMQ8XyxySHKXoq3cOPQqwrLAF40soyi1T9Yo3&amp;_nc_ohc=rrVwbJfB_OcQ7kNvwHGpivu&amp;_nc_gid=80AAk2n-pyTD5JwK3auqzg&amp;edm=AI-cjbYBAAAA&amp;ccb=7-5&amp;oh=00_Af2mqjtgxrFCCR429mhQaILe2xTS54FlLe-H_lIeYs_FYw&amp;oe=69D8AE29&amp;_nc_sid=0985b0</t>
  </si>
  <si>
    <t>lisboaride</t>
  </si>
  <si>
    <t>👌...</t>
  </si>
  <si>
    <t>07/04/2018, 19:03:36</t>
  </si>
  <si>
    <t>https://www.instagram.com/lisboaride</t>
  </si>
  <si>
    <t>https://instagram.fcgh5-1.fna.fbcdn.net/v/t51.2885-19/17127032_272308589849444_7309881960942272512_a.jpg?stp=dst-jpg_s150x150_tt6&amp;efg=eyJ2ZW5jb2RlX3RhZyI6InByb2ZpbGVfcGljLmRqYW5nby45OTIuYzIifQ&amp;_nc_ht=instagram.fcgh5-1.fna.fbcdn.net&amp;_nc_cat=108&amp;_nc_oc=Q6cZ2gHqZq9227_U4MzbR33oKVGnRoJWaY1fowBi4nmCSYomZ06iC0KKMQ8XyxySHKXoq3cOPQqwrLAF40soyi1T9Yo3&amp;_nc_ohc=upqj1p_4buAQ7kNvwF3UM-m&amp;_nc_gid=80AAk2n-pyTD5JwK3auqzg&amp;edm=AI-cjbYBAAAA&amp;ccb=7-5&amp;oh=00_Af2UuUKPDofcqvEarP3GQB85SfBe7OHEFowzHYtJee7Cyw&amp;oe=69D8B642&amp;_nc_sid=0985b0</t>
  </si>
  <si>
    <t>alexmystkowski</t>
  </si>
  <si>
    <t>👌</t>
  </si>
  <si>
    <t>17/04/2018, 03:40:24</t>
  </si>
  <si>
    <t>https://www.instagram.com/alexmystkowski</t>
  </si>
  <si>
    <t>https://instagram.fcgh5-1.fna.fbcdn.net/v/t51.2885-19/394933718_1355235471866591_4784750904564418031_n.jpg?stp=dst-jpg_s150x150_tt6&amp;efg=eyJ2ZW5jb2RlX3RhZyI6InByb2ZpbGVfcGljLmRqYW5nby4xMDI2LmMyIn0&amp;_nc_ht=instagram.fcgh5-1.fna.fbcdn.net&amp;_nc_cat=111&amp;_nc_oc=Q6cZ2gGuzM-KwPl7E43HMQRtU1YC6cZ1LFW8dK2sOXoKO9wQsPTea6uirfgVeQu1bqzfFo4xB7BboBgG4K4MU-1YOLBY&amp;_nc_ohc=48Y79PgSViIQ7kNvwEYhFe-&amp;_nc_gid=hE80t0LXWZf345Unb0CYFQ&amp;edm=AI-cjbYBAAAA&amp;ccb=7-5&amp;oh=00_Af1VTEjhfcCxCblFED9BiI7WNTFExADMFygJGQF_zFoP6Q&amp;oe=69D8D5F6&amp;_nc_sid=0985b0</t>
  </si>
  <si>
    <t>deimante_ds</t>
  </si>
  <si>
    <t>lovely photos</t>
  </si>
  <si>
    <t>17/04/2018, 14:28:53</t>
  </si>
  <si>
    <t>https://www.instagram.com/deimante_ds</t>
  </si>
  <si>
    <t>https://instagram.fcgh5-1.fna.fbcdn.net/v/t51.82787-19/548873630_18528032527038262_7077000787927794630_n.jpg?stp=dst-jpg_s150x150_tt6&amp;efg=eyJ2ZW5jb2RlX3RhZyI6InByb2ZpbGVfcGljLmRqYW5nby4xMDgwLmMyIn0&amp;_nc_ht=instagram.fcgh5-1.fna.fbcdn.net&amp;_nc_cat=110&amp;_nc_oc=Q6cZ2gGuzM-KwPl7E43HMQRtU1YC6cZ1LFW8dK2sOXoKO9wQsPTea6uirfgVeQu1bqzfFo4xB7BboBgG4K4MU-1YOLBY&amp;_nc_ohc=5LeuyLJIx8kQ7kNvwH7c_If&amp;_nc_gid=hE80t0LXWZf345Unb0CYFQ&amp;edm=AI-cjbYBAAAA&amp;ccb=7-5&amp;oh=00_Af2puiSoSUBdEFIwzTFhN_nmWoXbRJYdY_ALB5wNsDJH_g&amp;oe=69D8D453&amp;_nc_sid=0985b0</t>
  </si>
  <si>
    <t>https://instagram.fcgh5-1.fna.fbcdn.net/v/t51.2885-19/394933718_1355235471866591_4784750904564418031_n.jpg?stp=dst-jpg_s150x150_tt6&amp;efg=eyJ2ZW5jb2RlX3RhZyI6InByb2ZpbGVfcGljLmRqYW5nby4xMDI2LmMyIn0&amp;_nc_ht=instagram.fcgh5-1.fna.fbcdn.net&amp;_nc_cat=111&amp;_nc_oc=Q6cZ2gGVW0GR9pBnnjMqfiIBVQXwGUzTGefpGC4tgHwzJ3aXSa0GtN4CQXzJ92Vu5fRUXIqKpL5jA7MOK0rSie3A3xw4&amp;_nc_ohc=48Y79PgSViIQ7kNvwEYhFe-&amp;_nc_gid=9Q8KnT5AOaWqNCfZ83P22A&amp;edm=AI-cjbYBAAAA&amp;ccb=7-5&amp;oh=00_Af0SvSWVUVJGcooanHUq7BXi8IWYdaQQbX8SMZptg3Zz1g&amp;oe=69D8D5F6&amp;_nc_sid=0985b0</t>
  </si>
  <si>
    <t>https://instagram.fcgh5-1.fna.fbcdn.net/v/t51.82787-19/548873630_18528032527038262_7077000787927794630_n.jpg?stp=dst-jpg_s150x150_tt6&amp;efg=eyJ2ZW5jb2RlX3RhZyI6InByb2ZpbGVfcGljLmRqYW5nby4xMDgwLmMyIn0&amp;_nc_ht=instagram.fcgh5-1.fna.fbcdn.net&amp;_nc_cat=110&amp;_nc_oc=Q6cZ2gGVW0GR9pBnnjMqfiIBVQXwGUzTGefpGC4tgHwzJ3aXSa0GtN4CQXzJ92Vu5fRUXIqKpL5jA7MOK0rSie3A3xw4&amp;_nc_ohc=5LeuyLJIx8kQ7kNvwH7c_If&amp;_nc_gid=9Q8KnT5AOaWqNCfZ83P22A&amp;edm=AI-cjbYBAAAA&amp;ccb=7-5&amp;oh=00_Af3m42dYhU-A0Devq3uLhpVA1VN8U2IQteGOgyCOgAMlBg&amp;oe=69D8D453&amp;_nc_sid=0985b0</t>
  </si>
  <si>
    <t>mvolker</t>
  </si>
  <si>
    <t>:)</t>
  </si>
  <si>
    <t>18/05/2018, 17:38:09</t>
  </si>
  <si>
    <t>https://www.instagram.com/mvolker</t>
  </si>
  <si>
    <t>https://instagram.fcgh5-2.fna.fbcdn.net/v/t51.82787-19/634083850_18560532673045108_8761773607907310668_n.jpg?stp=dst-jpg_s150x150_tt6&amp;efg=eyJ2ZW5jb2RlX3RhZyI6InByb2ZpbGVfcGljLmRqYW5nby41NDkuYzIifQ&amp;_nc_ht=instagram.fcgh5-2.fna.fbcdn.net&amp;_nc_cat=104&amp;_nc_oc=Q6cZ2gHRTi3sYVewp2oZ02THiA1b6LA0lOlz0vD9R934fy2dmKHdHn-xhBgdDrawsrzIzXUHLKs6RiE06WDqCyDJwmaL&amp;_nc_ohc=7YHPsESbPaQQ7kNvwEkXvjN&amp;_nc_gid=b5dB7RtCFUZgQ31I65OQtQ&amp;edm=AI-cjbYBAAAA&amp;ccb=7-5&amp;oh=00_Af2fqCObgWEErtgnUSPeSLL9becuLpJvDTU9YEqc84wpqg&amp;oe=69D8E3A9&amp;_nc_sid=0985b0</t>
  </si>
  <si>
    <t>https://instagram.fcgh5-2.fna.fbcdn.net/v/t51.82787-19/634083850_18560532673045108_8761773607907310668_n.jpg?stp=dst-jpg_s150x150_tt6&amp;efg=eyJ2ZW5jb2RlX3RhZyI6InByb2ZpbGVfcGljLmRqYW5nby41NDkuYzIifQ&amp;_nc_ht=instagram.fcgh5-2.fna.fbcdn.net&amp;_nc_cat=104&amp;_nc_oc=Q6cZ2gF9atwN6tkUCnqUEITmXThwp4dOH8ayiJPu6Lx8c8T8SFu-ohNeAylMryz2VhjSZ-g2teJeS788I2CGg9Dp0j5s&amp;_nc_ohc=7YHPsESbPaQQ7kNvwEkXvjN&amp;_nc_gid=LbYd4R_0fUFuALtfzQydIg&amp;edm=AI-cjbYBAAAA&amp;ccb=7-5&amp;oh=00_Af3Cfe1zvj8JxIn6-FRC5kcrQNj_VuE7wTwpQuWIX4Orrw&amp;oe=69D8AB69&amp;_nc_sid=0985b0</t>
  </si>
  <si>
    <t>kalybreonline</t>
  </si>
  <si>
    <t>Marvelous👍🏼</t>
  </si>
  <si>
    <t>08/06/2018, 22:06:40</t>
  </si>
  <si>
    <t>https://www.instagram.com/kalybreonline</t>
  </si>
  <si>
    <t>https://instagram.fcgh5-1.fna.fbcdn.net/v/t51.2885-19/244196840_563654571514313_8244897615033054465_n.jpg?stp=dst-jpg_s150x150_tt6&amp;efg=eyJ2ZW5jb2RlX3RhZyI6InByb2ZpbGVfcGljLmRqYW5nby4xMDgwLmMyIn0&amp;_nc_ht=instagram.fcgh5-1.fna.fbcdn.net&amp;_nc_cat=105&amp;_nc_oc=Q6cZ2gHcW7SEuJshqAdW9T6kD7WKK5fCKC6G4A43XBXbF4YPkeq1eeIZfZrVFbyixmZVc0MbChpwvBc9EjqLWyd07XAB&amp;_nc_ohc=psQe9DwETo8Q7kNvwFpZyuJ&amp;_nc_gid=T34gmpjbXeUMP-2wBCvtRw&amp;edm=AI-cjbYBAAAA&amp;ccb=7-5&amp;oh=00_Af3bhniwfBuJmBWAmGeHnQ9OoyZy2PZlvvo0RT97E-bPIQ&amp;oe=69D8B341&amp;_nc_sid=0985b0</t>
  </si>
  <si>
    <t>hiltoncopacabana</t>
  </si>
  <si>
    <t>💙</t>
  </si>
  <si>
    <t>08/05/2018, 15:48:54</t>
  </si>
  <si>
    <t>https://www.instagram.com/hiltoncopacabana</t>
  </si>
  <si>
    <t>https://instagram.fcgh5-1.fna.fbcdn.net/v/t51.82787-19/558460117_18346042711165793_4545431452068598476_n.jpg?stp=dst-jpg_s150x150_tt6&amp;efg=eyJ2ZW5jb2RlX3RhZyI6InByb2ZpbGVfcGljLmRqYW5nby4zMjAuYzIifQ&amp;_nc_ht=instagram.fcgh5-1.fna.fbcdn.net&amp;_nc_cat=105&amp;_nc_oc=Q6cZ2gH75PrRt3ZhUUjrSUFmYPQP4rAA96kHRvDnG3KMbrwHAlhkhXLrl4sntf4QnXI2i9qndGW_RZombGLtTwtB5Tge&amp;_nc_ohc=CNzL189m3eQQ7kNvwGf1zOr&amp;_nc_gid=ieCczNWUNL1o5VstBBVReQ&amp;edm=AI-cjbYBAAAA&amp;ccb=7-5&amp;oh=00_Af0PPml96NDKw7KDKwJgiKB7Wi9xEORtea-xGYzsVJ28sw&amp;oe=69D8B29B&amp;_nc_sid=0985b0</t>
  </si>
  <si>
    <t>beallinclusive</t>
  </si>
  <si>
    <t>😎</t>
  </si>
  <si>
    <t>03/05/2018, 21:26:21</t>
  </si>
  <si>
    <t>https://www.instagram.com/beallinclusive</t>
  </si>
  <si>
    <t>https://instagram.fcgh5-2.fna.fbcdn.net/v/t51.2885-19/405197056_363444856053733_8847871278503670867_n.jpg?stp=dst-jpg_s150x150_tt6&amp;efg=eyJ2ZW5jb2RlX3RhZyI6InByb2ZpbGVfcGljLmRqYW5nby4xMDgwLmMyIn0&amp;_nc_ht=instagram.fcgh5-2.fna.fbcdn.net&amp;_nc_cat=101&amp;_nc_oc=Q6cZ2gGldSPd2tcVL56UDAJ7l59OeTRKuANYxZ9_C_mdg16G8BoWyRVqbinjm5ti6_pyWIShctGJD3bIapHcjMF4Kwlg&amp;_nc_ohc=f7tnQbqNnuQQ7kNvwG9t7Gb&amp;_nc_gid=rlxp7ACZZjlVQoAVvLWBlQ&amp;edm=AI-cjbYBAAAA&amp;ccb=7-5&amp;oh=00_Af2Si7AxI8H9FSifs0_VF9_1qqUpGKhjr7PXtn2-x8CBGw&amp;oe=69D8B287&amp;_nc_sid=0985b0</t>
  </si>
  <si>
    <t>cassy_winters</t>
  </si>
  <si>
    <t>Hey! Do you know @africanhandmadeshoes? Look at their colorful profile and get lost! 🌲 🌺 ☀</t>
  </si>
  <si>
    <t>05/09/2016, 19:50:43</t>
  </si>
  <si>
    <t>https://www.instagram.com/cassy_winters</t>
  </si>
  <si>
    <t>https://instagram.fcgh5-2.fna.fbcdn.net/v/t51.2885-19/14474326_1703188820002420_3522982091736219648_a.jpg?stp=dst-jpg_s150x150_tt6&amp;efg=eyJ2ZW5jb2RlX3RhZyI6InByb2ZpbGVfcGljLmRqYW5nby4xMDgwLmMyIn0&amp;_nc_ht=instagram.fcgh5-2.fna.fbcdn.net&amp;_nc_cat=104&amp;_nc_oc=Q6cZ2gF6MvjLdrCArG4XUGxJ2mLtc9-s40goYlWFQjFIvyTUq6IxCOY2LccJJ2Drn6G_RN9LnCAK3rgr_bZq3lRr5R34&amp;_nc_ohc=JYQBS1a8wVsQ7kNvwHGcBRM&amp;_nc_gid=PrDQa3EQ1M852hwfZB8O9Q&amp;edm=AI-cjbYBAAAA&amp;ccb=7-5&amp;oh=00_Af2Wsjb10jYPewcGyR2KeHQEQ85OASLX1Vq0RBTmOYtg2Q&amp;oe=69D90D32&amp;_nc_sid=0985b0</t>
  </si>
  <si>
    <t>eliteresorts.com.br</t>
  </si>
  <si>
    <t>⭐⭐⭐⭐⭐</t>
  </si>
  <si>
    <t>06/09/2016, 22:41:24</t>
  </si>
  <si>
    <t>https://www.instagram.com/eliteresorts.com.br</t>
  </si>
  <si>
    <t>https://instagram.fcgh5-1.fna.fbcdn.net/v/t51.2885-19/464822211_1675132256397215_2885694459052224923_n.jpg?stp=dst-jpg_s150x150_tt6&amp;efg=eyJ2ZW5jb2RlX3RhZyI6InByb2ZpbGVfcGljLmRqYW5nby42NDAuYzIifQ&amp;_nc_ht=instagram.fcgh5-1.fna.fbcdn.net&amp;_nc_cat=111&amp;_nc_oc=Q6cZ2gF6MvjLdrCArG4XUGxJ2mLtc9-s40goYlWFQjFIvyTUq6IxCOY2LccJJ2Drn6G_RN9LnCAK3rgr_bZq3lRr5R34&amp;_nc_ohc=8c4W5EKvOeEQ7kNvwGdht8J&amp;_nc_gid=PrDQa3EQ1M852hwfZB8O9Q&amp;edm=AI-cjbYBAAAA&amp;ccb=7-5&amp;oh=00_Af0nUT0_uz_3OSeYeQ_ybJHR4iQ2QIgCuTaqUoPGeYWgFA&amp;oe=69D913D4&amp;_nc_sid=0985b0</t>
  </si>
  <si>
    <t>lloydsanford</t>
  </si>
  <si>
    <t>01/09/2016, 15:05:11</t>
  </si>
  <si>
    <t>https://www.instagram.com/lloydsanford</t>
  </si>
  <si>
    <t>https://instagram.fcgh5-1.fna.fbcdn.net/v/t51.2885-19/260057399_200186055608577_7125864193757421_n.jpg?stp=dst-jpg_s150x150_tt6&amp;efg=eyJ2ZW5jb2RlX3RhZyI6InByb2ZpbGVfcGljLmRqYW5nby4xMDAwLmMyIn0&amp;_nc_ht=instagram.fcgh5-1.fna.fbcdn.net&amp;_nc_cat=109&amp;_nc_oc=Q6cZ2gEY4nWaf4A3CqUt4BRslQ3hI63gvdYNKaoN4CVa4uyOGG6HQFnka4s9iziiAuQGsuLc71Op2eJOvojat3KUnt6W&amp;_nc_ohc=sGkslPfpTOIQ7kNvwFv_Vr5&amp;_nc_gid=FLxTD0TFGzx6pcUzp96dXQ&amp;edm=AI-cjbYBAAAA&amp;ccb=7-5&amp;oh=00_Af30abSFR_xLEs5o4uoY_hFtR2J3oYVGfauOfWxiYehkLQ&amp;oe=69D910B9&amp;_nc_sid=0985b0</t>
  </si>
  <si>
    <t>triviaiss</t>
  </si>
  <si>
    <t>👏 👏 👏</t>
  </si>
  <si>
    <t>01/09/2016, 20:59:00</t>
  </si>
  <si>
    <t>https://www.instagram.com/triviaiss</t>
  </si>
  <si>
    <t>https://instagram.fcgh5-1.fna.fbcdn.net/v/t51.2885-19/41255523_728623127477758_2089494872175149056_n.jpg?stp=dst-jpg_s150x150_tt6&amp;efg=eyJ2ZW5jb2RlX3RhZyI6InByb2ZpbGVfcGljLmRqYW5nby43NDkuYzIifQ&amp;_nc_ht=instagram.fcgh5-1.fna.fbcdn.net&amp;_nc_cat=110&amp;_nc_oc=Q6cZ2gEY4nWaf4A3CqUt4BRslQ3hI63gvdYNKaoN4CVa4uyOGG6HQFnka4s9iziiAuQGsuLc71Op2eJOvojat3KUnt6W&amp;_nc_ohc=v2zPMgN3A3sQ7kNvwHw37eL&amp;_nc_gid=FLxTD0TFGzx6pcUzp96dXQ&amp;edm=AI-cjbYBAAAA&amp;ccb=7-5&amp;oh=00_Af1z5_JgIzHNxQccWmvVY0LmDX4rps6EtgdLeHTH1PUlbA&amp;oe=69D8EED2&amp;_nc_sid=0985b0</t>
  </si>
  <si>
    <t>greccocozinharustica</t>
  </si>
  <si>
    <t>Obrigada pela visita! 😘</t>
  </si>
  <si>
    <t>01/09/2016, 15:23:00</t>
  </si>
  <si>
    <t>https://www.instagram.com/greccocozinharustica</t>
  </si>
  <si>
    <t>https://instagram.fcgh5-1.fna.fbcdn.net/v/t51.2885-19/31326400_240109856566798_5151600876829278208_n.jpg?stp=dst-jpg_s150x150_tt6&amp;efg=eyJ2ZW5jb2RlX3RhZyI6InByb2ZpbGVfcGljLmRqYW5nby4xMDU4LmMyIn0&amp;_nc_ht=instagram.fcgh5-1.fna.fbcdn.net&amp;_nc_cat=110&amp;_nc_oc=Q6cZ2gF_41b3Q_1TrWFhksWhOiyhRy-LgrtibTkIyCh-vCePGWnAfp7JZ3jPP5Pbm8vlnI5o6eBo2Vkjp_lHrxgpRvb7&amp;_nc_ohc=vElJGWj-iiYQ7kNvwG0CkrE&amp;_nc_gid=CXmp7FecU2vxfqHIrnlNSQ&amp;edm=AI-cjbYBAAAA&amp;ccb=7-5&amp;oh=00_Af1bfxoV2o1VTjRpbPD9ui-qPBnS4AQWjUlNTocrQHBNGw&amp;oe=69D91E21&amp;_nc_sid=0985b0</t>
  </si>
  <si>
    <t>travello.com_</t>
  </si>
  <si>
    <t>Wow, you've got some great shots. Keep it up :)</t>
  </si>
  <si>
    <t>01/09/2016, 20:46:48</t>
  </si>
  <si>
    <t>https://www.instagram.com/travello.com_</t>
  </si>
  <si>
    <t>https://instagram.fcgh5-1.fna.fbcdn.net/v/t51.2885-19/473175733_444178245298065_6258458753859703088_n.jpg?stp=dst-jpg_s150x150_tt6&amp;efg=eyJ2ZW5jb2RlX3RhZyI6InByb2ZpbGVfcGljLmRqYW5nby4zMjAuYzIifQ&amp;_nc_ht=instagram.fcgh5-1.fna.fbcdn.net&amp;_nc_cat=109&amp;_nc_oc=Q6cZ2gF_41b3Q_1TrWFhksWhOiyhRy-LgrtibTkIyCh-vCePGWnAfp7JZ3jPP5Pbm8vlnI5o6eBo2Vkjp_lHrxgpRvb7&amp;_nc_ohc=9PIkpFgr_UwQ7kNvwFV53oY&amp;_nc_gid=CXmp7FecU2vxfqHIrnlNSQ&amp;edm=AI-cjbYBAAAA&amp;ccb=7-5&amp;oh=00_Af0U0YVMxc9qTGpAFZV3Ylnt_6Ms3V9eGlKAIa9cHmjOoA&amp;oe=69D8FBEC&amp;_nc_sid=0985b0</t>
  </si>
  <si>
    <t>marconomapa</t>
  </si>
  <si>
    <t>✅Good🆒!!!!</t>
  </si>
  <si>
    <t>02/09/2016, 03:31:07</t>
  </si>
  <si>
    <t>https://www.instagram.com/marconomapa</t>
  </si>
  <si>
    <t>https://instagram.fcgh5-2.fna.fbcdn.net/v/t51.2885-19/57488079_2133054856749906_7213087988094337024_n.jpg?stp=dst-jpg_s150x150_tt6&amp;efg=eyJ2ZW5jb2RlX3RhZyI6InByb2ZpbGVfcGljLmRqYW5nby40MDAuYzIifQ&amp;_nc_ht=instagram.fcgh5-2.fna.fbcdn.net&amp;_nc_cat=106&amp;_nc_oc=Q6cZ2gGOc7YjP40qD6jBrVxRIHs3dv4741owXS5CMuu1c7sqaYNWx4BVwh07_VkkVapBlxjGcOD7ZlIP2n9ZXNI83nXb&amp;_nc_ohc=XzdQhqGwEhsQ7kNvwFm0g18&amp;_nc_gid=NBcXO4hpMEYsOBoC_4D71Q&amp;edm=AI-cjbYBAAAA&amp;ccb=7-5&amp;oh=00_Af18JzvfMMoPc-W8EGvPF-MWJMueaM8YJYMQPh51Lub2Jw&amp;oe=69D8F110&amp;_nc_sid=0985b0</t>
  </si>
  <si>
    <t>hi5familia</t>
  </si>
  <si>
    <t>Abriu hj para o público dia 02/09 até as 18:00 hj R$ 14,00 sábado e domingo R$24,00</t>
  </si>
  <si>
    <t>02/09/2016, 10:56:48</t>
  </si>
  <si>
    <t>https://www.instagram.com/hi5familia</t>
  </si>
  <si>
    <t>https://instagram.fcgh5-1.fna.fbcdn.net/v/t51.82787-19/622038085_18555780490018115_8654508959413523267_n.jpg?stp=dst-jpg_s150x150_tt6&amp;efg=eyJ2ZW5jb2RlX3RhZyI6InByb2ZpbGVfcGljLmRqYW5nby4xMDgwLmMyIn0&amp;_nc_ht=instagram.fcgh5-1.fna.fbcdn.net&amp;_nc_cat=111&amp;_nc_oc=Q6cZ2gFWv7G1ssIz2Ed_CdfluptgazCo6em9k0d_ofwMSN6Y5BRPOB5h-HyoJ8zImnE7QQGsMJfhyE_pgoNRkSyr2KBT&amp;_nc_ohc=7YO0-j0jRqIQ7kNvwF64ntV&amp;_nc_gid=cPLdXma4RBLbRslQ1sXWXA&amp;edm=AI-cjbYBAAAA&amp;ccb=7-5&amp;oh=00_Af0Lv3grRhFvNs_roKclMsbN47zimnzgmRpAXWeMeqv3Tg&amp;oe=69D91515&amp;_nc_sid=0985b0</t>
  </si>
  <si>
    <t>revistaembarque</t>
  </si>
  <si>
    <t>@maedetresmaedegemeos legal, atualizamos aqui 😘😘</t>
  </si>
  <si>
    <t>02/09/2016, 11:08:01</t>
  </si>
  <si>
    <t>https://www.instagram.com/revistaembarque</t>
  </si>
  <si>
    <t>https://instagram.fcgh5-2.fna.fbcdn.net/v/t51.82787-19/574233390_18393115045123935_8706979050179224508_n.jpg?stp=dst-jpg_s150x150_tt6&amp;efg=eyJ2ZW5jb2RlX3RhZyI6InByb2ZpbGVfcGljLmRqYW5nby4xMDgwLmMyIn0&amp;_nc_ht=instagram.fcgh5-2.fna.fbcdn.net&amp;_nc_cat=103&amp;_nc_oc=Q6cZ2gFWv7G1ssIz2Ed_CdfluptgazCo6em9k0d_ofwMSN6Y5BRPOB5h-HyoJ8zImnE7QQGsMJfhyE_pgoNRkSyr2KBT&amp;_nc_ohc=DthU4rOQI7wQ7kNvwFUA_tX&amp;_nc_gid=cPLdXma4RBLbRslQ1sXWXA&amp;edm=AI-cjbYBAAAA&amp;ccb=7-5&amp;oh=00_Af1qWgYeNwxcv3Jl3Wg2oZTs5nN8YyIRUDCRnT9OByb2MQ&amp;oe=69D8F2DA&amp;_nc_sid=0985b0</t>
  </si>
  <si>
    <t>😘mais tarde estaremos por lá apreciando as belezas dessa festa 😍 vale a pena</t>
  </si>
  <si>
    <t>02/09/2016, 11:10:15</t>
  </si>
  <si>
    <t>https://instagram.fcgh5-1.fna.fbcdn.net/v/t51.82787-19/622038085_18555780490018115_8654508959413523267_n.jpg?stp=dst-jpg_s150x150_tt6&amp;efg=eyJ2ZW5jb2RlX3RhZyI6InByb2ZpbGVfcGljLmRqYW5nby4xMDgwLmMyIn0&amp;_nc_ht=instagram.fcgh5-1.fna.fbcdn.net&amp;_nc_cat=111&amp;_nc_oc=Q6cZ2gG3M5X_JT4EP5TZ-CLZeGiOa0UiP9WQ3TupRwXmWO7KLXL1n8S_Nbxb_akt-dt_qpBEtm_jD9c409AzmtaSQOv3&amp;_nc_ohc=7YO0-j0jRqIQ7kNvwF64ntV&amp;_nc_gid=jS0tzQTRdLQ6y83nuuN81w&amp;edm=AI-cjbYBAAAA&amp;ccb=7-5&amp;oh=00_Af0gZCemNxTi0LAfGKwFB9gTnkkMbaHU0ZGwW-WIrKaI6w&amp;oe=69D91515&amp;_nc_sid=0985b0</t>
  </si>
  <si>
    <t>https://instagram.fcgh5-2.fna.fbcdn.net/v/t51.82787-19/574233390_18393115045123935_8706979050179224508_n.jpg?stp=dst-jpg_s150x150_tt6&amp;efg=eyJ2ZW5jb2RlX3RhZyI6InByb2ZpbGVfcGljLmRqYW5nby4xMDgwLmMyIn0&amp;_nc_ht=instagram.fcgh5-2.fna.fbcdn.net&amp;_nc_cat=103&amp;_nc_oc=Q6cZ2gG3M5X_JT4EP5TZ-CLZeGiOa0UiP9WQ3TupRwXmWO7KLXL1n8S_Nbxb_akt-dt_qpBEtm_jD9c409AzmtaSQOv3&amp;_nc_ohc=DthU4rOQI7wQ7kNvwFUA_tX&amp;_nc_gid=jS0tzQTRdLQ6y83nuuN81w&amp;edm=AI-cjbYBAAAA&amp;ccb=7-5&amp;oh=00_Af3B1lPvi2SmzJr8gGMScGBhRaDo-xeVbS3GszhdzS13Yw&amp;oe=69D8F2DA&amp;_nc_sid=0985b0</t>
  </si>
  <si>
    <t>torinomassas</t>
  </si>
  <si>
    <t>😊😊</t>
  </si>
  <si>
    <t>03/09/2016, 07:50:04</t>
  </si>
  <si>
    <t>https://www.instagram.com/torinomassas</t>
  </si>
  <si>
    <t>https://instagram.fcgh5-2.fna.fbcdn.net/v/t51.2885-19/300564919_147324047979019_6283246081486039057_n.jpg?stp=dst-jpg_s150x150_tt6&amp;efg=eyJ2ZW5jb2RlX3RhZyI6InByb2ZpbGVfcGljLmRqYW5nby43OTcuYzIifQ&amp;_nc_ht=instagram.fcgh5-2.fna.fbcdn.net&amp;_nc_cat=107&amp;_nc_oc=Q6cZ2gEibuc36-Rx6_WbZpfldQMhJlIbZdlGWpvL63pN563i_7HD3Ckvqn1L_ctZlUYq5THpA6IQQEF5L4hUP9Mj8TP7&amp;_nc_ohc=AiSbJaQdF9oQ7kNvwGhz4Kn&amp;_nc_gid=JKSnKYNXI6WAQNaIc5IFMg&amp;edm=AI-cjbYBAAAA&amp;ccb=7-5&amp;oh=00_Af1rIAJKIPbBaiCiE_BqcaRKC-v_QbhMdkWeouUp335t6w&amp;oe=69D8F824&amp;_nc_sid=0985b0</t>
  </si>
  <si>
    <t>visitaitalia</t>
  </si>
  <si>
    <t>Lovely post</t>
  </si>
  <si>
    <t>03/09/2016, 13:21:12</t>
  </si>
  <si>
    <t>https://www.instagram.com/visitaitalia</t>
  </si>
  <si>
    <t>https://instagram.fcgh5-2.fna.fbcdn.net/v/t51.2885-19/13643596_1094439423983203_323812028_a.jpg?stp=dst-jpg_s150x150_tt6&amp;efg=eyJ2ZW5jb2RlX3RhZyI6InByb2ZpbGVfcGljLmRqYW5nby42NzAuYzIifQ&amp;_nc_ht=instagram.fcgh5-2.fna.fbcdn.net&amp;_nc_cat=107&amp;_nc_oc=Q6cZ2gEibuc36-Rx6_WbZpfldQMhJlIbZdlGWpvL63pN563i_7HD3Ckvqn1L_ctZlUYq5THpA6IQQEF5L4hUP9Mj8TP7&amp;_nc_ohc=A-GkPHh6fWEQ7kNvwFyKUZ7&amp;_nc_gid=JKSnKYNXI6WAQNaIc5IFMg&amp;edm=AI-cjbYBAAAA&amp;ccb=7-5&amp;oh=00_Af232HvmJdk6mWwBogfcm6d1REnM3abOcwyBBPfjME-wsg&amp;oe=69D91ED3&amp;_nc_sid=0985b0</t>
  </si>
  <si>
    <t>bernardomarotta</t>
  </si>
  <si>
    <t>Em toda imagem existe algum tipo de arte, não acha?</t>
  </si>
  <si>
    <t>11/06/2018, 22:00:53</t>
  </si>
  <si>
    <t>https://www.instagram.com/bernardomarotta</t>
  </si>
  <si>
    <t>https://instagram.fcgh5-2.fna.fbcdn.net/v/t51.2885-19/341171800_716643113539561_2469082864843748007_n.jpg?stp=dst-jpg_s150x150_tt6&amp;efg=eyJ2ZW5jb2RlX3RhZyI6InByb2ZpbGVfcGljLmRqYW5nby4xMDgwLmMyIn0&amp;_nc_ht=instagram.fcgh5-2.fna.fbcdn.net&amp;_nc_cat=101&amp;_nc_oc=Q6cZ2gE-Og0inz1TtLKVy-YHrTeWd_QN2UBjQE8U12ysIuVM7WmrVOcw31ermYEGUuWK8dFfHclNvHcrmNDMPeyCbQzL&amp;_nc_ohc=shwqwzpBZfgQ7kNvwFWlm04&amp;_nc_gid=0W5fe42wJlElZNK7JYunQA&amp;edm=AI-cjbYBAAAA&amp;ccb=7-5&amp;oh=00_Af1BLW8M3VxtApjXC5GC3GGbN_LCaJtGiBLGuVnpEanjEg&amp;oe=69D8AB7A&amp;_nc_sid=0985b0</t>
  </si>
  <si>
    <t>grape2glass</t>
  </si>
  <si>
    <t>Best of the day</t>
  </si>
  <si>
    <t>23/08/2016, 10:30:10</t>
  </si>
  <si>
    <t>https://www.instagram.com/grape2glass</t>
  </si>
  <si>
    <t>https://instagram.fcgh5-1.fna.fbcdn.net/v/t51.2885-19/14073000_772274102915882_799472422_a.jpg?stp=dst-jpg_s150x150_tt6&amp;efg=eyJ2ZW5jb2RlX3RhZyI6InByb2ZpbGVfcGljLmRqYW5nby4xMDAwLmMyIn0&amp;_nc_ht=instagram.fcgh5-1.fna.fbcdn.net&amp;_nc_cat=102&amp;_nc_oc=Q6cZ2gEFGKt9isu94xKQpAXUiQKVj_gbYKUHoj7uqwofIE-2uo10cTO5D81UxGcjxRG1LU4oLssPSeg9d-4zbyfMX0E8&amp;_nc_ohc=ORy3oiOXXZ4Q7kNvwFDYaCA&amp;_nc_gid=ymKJd47bV_5OF9Do2W5Miw&amp;edm=AI-cjbYBAAAA&amp;ccb=7-5&amp;oh=00_Af3GUcMgtfSTu4NUYN3sWnF50BqpHPI6I03sRu0Y-Ae8uw&amp;oe=69D90A94&amp;_nc_sid=0985b0</t>
  </si>
  <si>
    <t>archillusion</t>
  </si>
  <si>
    <t>Really nice!</t>
  </si>
  <si>
    <t>24/08/2016, 03:36:32</t>
  </si>
  <si>
    <t>https://www.instagram.com/archillusion</t>
  </si>
  <si>
    <t>https://instagram.fcgh5-1.fna.fbcdn.net/v/t51.2885-19/435093119_970969513881722_2442480367051977825_n.jpg?stp=dst-jpg_s150x150_tt6&amp;efg=eyJ2ZW5jb2RlX3RhZyI6InByb2ZpbGVfcGljLmRqYW5nby4xMDgwLmMyIn0&amp;_nc_ht=instagram.fcgh5-1.fna.fbcdn.net&amp;_nc_cat=102&amp;_nc_oc=Q6cZ2gEFGKt9isu94xKQpAXUiQKVj_gbYKUHoj7uqwofIE-2uo10cTO5D81UxGcjxRG1LU4oLssPSeg9d-4zbyfMX0E8&amp;_nc_ohc=yMv6aZiGfqQQ7kNvwFdH27X&amp;_nc_gid=ymKJd47bV_5OF9Do2W5Miw&amp;edm=AI-cjbYBAAAA&amp;ccb=7-5&amp;oh=00_Af2_8gt9wlnUtbdF7Ew1sNUDREjPCnDDM1Xd7vO9FrXIIA&amp;oe=69D8FE7A&amp;_nc_sid=0985b0</t>
  </si>
  <si>
    <t>cyrodelgado</t>
  </si>
  <si>
    <t>👊</t>
  </si>
  <si>
    <t>22/08/2016, 10:21:30</t>
  </si>
  <si>
    <t>https://www.instagram.com/cyrodelgado</t>
  </si>
  <si>
    <t>https://instagram.fcgh5-1.fna.fbcdn.net/v/t51.2885-19/74623982_2494952217420605_3556559849703604224_n.jpg?stp=dst-jpg_s150x150_tt6&amp;efg=eyJ2ZW5jb2RlX3RhZyI6InByb2ZpbGVfcGljLmRqYW5nby4xMDgwLmMyIn0&amp;_nc_ht=instagram.fcgh5-1.fna.fbcdn.net&amp;_nc_cat=105&amp;_nc_oc=Q6cZ2gHQKu4oH5MflpbhXI__9FUf4vg9rQ1s0Fvz1T4njtMHkWieMqU9l4dAcOd3XmwE34sU06rxXdNyZJ0nKIlIvr79&amp;_nc_ohc=4lNP7DD_ld0Q7kNvwEpR02Y&amp;_nc_gid=M37AOdIUVTk8Ge9IfgOfpg&amp;edm=AI-cjbYBAAAA&amp;ccb=7-5&amp;oh=00_Af03789cWKVEhL8kruZpg2ne9IrZC_J5py5LOGedba4vVA&amp;oe=69D8ED3B&amp;_nc_sid=0985b0</t>
  </si>
  <si>
    <t>24/08/2016, 03:40:12</t>
  </si>
  <si>
    <t>https://instagram.fcgh5-1.fna.fbcdn.net/v/t51.2885-19/435093119_970969513881722_2442480367051977825_n.jpg?stp=dst-jpg_s150x150_tt6&amp;efg=eyJ2ZW5jb2RlX3RhZyI6InByb2ZpbGVfcGljLmRqYW5nby4xMDgwLmMyIn0&amp;_nc_ht=instagram.fcgh5-1.fna.fbcdn.net&amp;_nc_cat=102&amp;_nc_oc=Q6cZ2gHQKu4oH5MflpbhXI__9FUf4vg9rQ1s0Fvz1T4njtMHkWieMqU9l4dAcOd3XmwE34sU06rxXdNyZJ0nKIlIvr79&amp;_nc_ohc=yMv6aZiGfqQQ7kNvwFdH27X&amp;_nc_gid=M37AOdIUVTk8Ge9IfgOfpg&amp;edm=AI-cjbYBAAAA&amp;ccb=7-5&amp;oh=00_Af2NbI2xJtEdKV35WwM0FIzh84eLwQh0vOvmmeUGD729_A&amp;oe=69D8FE7A&amp;_nc_sid=0985b0</t>
  </si>
  <si>
    <t>mrchristian83</t>
  </si>
  <si>
    <t>24/08/2016, 18:28:55</t>
  </si>
  <si>
    <t>https://www.instagram.com/mrchristian83</t>
  </si>
  <si>
    <t>https://instagram.fcgh5-2.fna.fbcdn.net/v/t51.2885-19/465064570_919493026764181_4891408520987139610_n.jpg?stp=dst-jpg_s150x150_tt6&amp;efg=eyJ2ZW5jb2RlX3RhZyI6InByb2ZpbGVfcGljLmRqYW5nby4xMDgwLmMyIn0&amp;_nc_ht=instagram.fcgh5-2.fna.fbcdn.net&amp;_nc_cat=101&amp;_nc_oc=Q6cZ2gG9son7kOnT9lj3ljuxT0RoYdrsJgIBXIeuze8L3QablkqUpXZIN14zGC2W9jVHh8ed0CGmU0kJfyAmX4DdB-WW&amp;_nc_ohc=4WX8je4BRbwQ7kNvwG7gCQm&amp;_nc_gid=UElJ-Yg6ZGxPxaibUU-adQ&amp;edm=AI-cjbYBAAAA&amp;ccb=7-5&amp;oh=00_Af3dLNDnS58hKQ-s8v5Cfld8OCMLL-_Z2LCL_4pEejeM_w&amp;oe=69D91550&amp;_nc_sid=0985b0</t>
  </si>
  <si>
    <t>alexpreview_ebook</t>
  </si>
  <si>
    <t>🙌🙌🙌</t>
  </si>
  <si>
    <t>26/08/2016, 05:34:06</t>
  </si>
  <si>
    <t>https://www.instagram.com/alexpreview_ebook</t>
  </si>
  <si>
    <t>https://instagram.fcgh5-1.fna.fbcdn.net/v/t51.2885-19/167067122_459536388716993_2810755185375405110_n.jpg?stp=dst-jpg_s150x150_tt6&amp;efg=eyJ2ZW5jb2RlX3RhZyI6InByb2ZpbGVfcGljLmRqYW5nby4xMDgwLmMyIn0&amp;_nc_ht=instagram.fcgh5-1.fna.fbcdn.net&amp;_nc_cat=105&amp;_nc_oc=Q6cZ2gG9son7kOnT9lj3ljuxT0RoYdrsJgIBXIeuze8L3QablkqUpXZIN14zGC2W9jVHh8ed0CGmU0kJfyAmX4DdB-WW&amp;_nc_ohc=nyvfWHnZY1gQ7kNvwElvm34&amp;_nc_gid=UElJ-Yg6ZGxPxaibUU-adQ&amp;edm=AI-cjbYBAAAA&amp;ccb=7-5&amp;oh=00_Af3oMM9Kxtevial4xR-6gl8tHcCJ2xjIwBs0rTQ0AXW5ew&amp;oe=69D8FEE1&amp;_nc_sid=0985b0</t>
  </si>
  <si>
    <t>profissaoaventura</t>
  </si>
  <si>
    <t>Curte aventuras? Segue a gente!!! ;-)</t>
  </si>
  <si>
    <t>26/08/2016, 10:13:02</t>
  </si>
  <si>
    <t>https://www.instagram.com/profissaoaventura</t>
  </si>
  <si>
    <t>https://instagram.fcgh5-1.fna.fbcdn.net/v/t51.2885-19/54732502_304563240236585_291302398754816000_n.jpg?stp=dst-jpg_s150x150_tt6&amp;efg=eyJ2ZW5jb2RlX3RhZyI6InByb2ZpbGVfcGljLmRqYW5nby43MDYuYzIifQ&amp;_nc_ht=instagram.fcgh5-1.fna.fbcdn.net&amp;_nc_cat=105&amp;_nc_oc=Q6cZ2gH_l4DJMrusRb50oxhcG1kqcme2lxRDFpXSPKYwsecrt3TElvZE-64DocigVE7wXCKin3h-Z2p_elRM7O7JfMR-&amp;_nc_ohc=XTr30ubr34sQ7kNvwEWUvhD&amp;_nc_gid=IcHe9Eq_zxsBnztyTdGgUg&amp;edm=AI-cjbYBAAAA&amp;ccb=7-5&amp;oh=00_Af1T2ZikRV7QY22OU6TJl8cNOrfiTA8_QfBv1F77s8936Q&amp;oe=69D8FC26&amp;_nc_sid=0985b0</t>
  </si>
  <si>
    <t>fernandapaulas</t>
  </si>
  <si>
    <t>Olha aí @vadalicariao !!! Só esperando vcs..</t>
  </si>
  <si>
    <t>04/09/2016, 15:22:28</t>
  </si>
  <si>
    <t>https://www.instagram.com/fernandapaulas</t>
  </si>
  <si>
    <t>https://instagram.fcgh5-1.fna.fbcdn.net/v/t51.2885-19/80416903_1021718338188512_1058465913818316800_n.jpg?stp=dst-jpg_s150x150_tt6&amp;efg=eyJ2ZW5jb2RlX3RhZyI6InByb2ZpbGVfcGljLmRqYW5nby4xMDgwLmMyIn0&amp;_nc_ht=instagram.fcgh5-1.fna.fbcdn.net&amp;_nc_cat=108&amp;_nc_oc=Q6cZ2gH_l4DJMrusRb50oxhcG1kqcme2lxRDFpXSPKYwsecrt3TElvZE-64DocigVE7wXCKin3h-Z2p_elRM7O7JfMR-&amp;_nc_ohc=KNhJ0OSZaQwQ7kNvwF5eL6s&amp;_nc_gid=IcHe9Eq_zxsBnztyTdGgUg&amp;edm=AI-cjbYBAAAA&amp;ccb=7-5&amp;oh=00_Af1Ft-z4ZSSbrAwq6tWbYT3YlVVWLdeiMqfalyHIKTSAGQ&amp;oe=69D8EAFB&amp;_nc_sid=0985b0</t>
  </si>
  <si>
    <t>estevampelomundo</t>
  </si>
  <si>
    <t>👌✌</t>
  </si>
  <si>
    <t>28/08/2016, 12:49:49</t>
  </si>
  <si>
    <t>https://www.instagram.com/estevampelomundo</t>
  </si>
  <si>
    <t>https://instagram.fcgh5-1.fna.fbcdn.net/v/t51.82787-19/628187018_18560372530026698_6545486507947714945_n.jpg?stp=dst-jpg_s150x150_tt6&amp;efg=eyJ2ZW5jb2RlX3RhZyI6InByb2ZpbGVfcGljLmRqYW5nby44MjcuYzIifQ&amp;_nc_ht=instagram.fcgh5-1.fna.fbcdn.net&amp;_nc_cat=1&amp;_nc_oc=Q6cZ2gEr13-UToqjORQmSZnKOF1RKKyo_YjoQiJsj3qXb8Idne3rSn_GDaa0ZaTgnwg6o_CYLZTeed-w_4T2XdGrNZ13&amp;_nc_ohc=eqAxvD6a5McQ7kNvwHNCD58&amp;_nc_gid=z-8tx7OGmuFPzfeD62MRVA&amp;edm=AI-cjbYBAAAA&amp;ccb=7-5&amp;oh=00_Af1E-p6wf3WHJqsNYPSSXzNDOfEqgnCTjGGap8Oy6MxAsQ&amp;oe=69D90B3C&amp;_nc_sid=0985b0</t>
  </si>
  <si>
    <t>cuba2day</t>
  </si>
  <si>
    <t>This is wonderful</t>
  </si>
  <si>
    <t>28/08/2016, 17:34:59</t>
  </si>
  <si>
    <t>https://www.instagram.com/cuba2day</t>
  </si>
  <si>
    <t>https://instagram.fcgh5-1.fna.fbcdn.net/v/t51.2885-19/18380872_338570583224566_1162579365637128192_a.jpg?stp=dst-jpg_s150x150_tt6&amp;efg=eyJ2ZW5jb2RlX3RhZyI6InByb2ZpbGVfcGljLmRqYW5nby44MzMuYzIifQ&amp;_nc_ht=instagram.fcgh5-1.fna.fbcdn.net&amp;_nc_cat=110&amp;_nc_oc=Q6cZ2gEr13-UToqjORQmSZnKOF1RKKyo_YjoQiJsj3qXb8Idne3rSn_GDaa0ZaTgnwg6o_CYLZTeed-w_4T2XdGrNZ13&amp;_nc_ohc=c4h3hVsl3XAQ7kNvwEkm0re&amp;_nc_gid=z-8tx7OGmuFPzfeD62MRVA&amp;edm=AI-cjbYBAAAA&amp;ccb=7-5&amp;oh=00_Af3Nf1R3YJTvkxprwOGOP0ExNw6mFzrmLzxpenVIwGmdPg&amp;oe=69D8ECF0&amp;_nc_sid=0985b0</t>
  </si>
  <si>
    <t>darlingescapes</t>
  </si>
  <si>
    <t>Great page! &lt;3 &lt;3 &lt;3</t>
  </si>
  <si>
    <t>28/08/2016, 18:30:30</t>
  </si>
  <si>
    <t>https://www.instagram.com/darlingescapes</t>
  </si>
  <si>
    <t>https://instagram.fcgh5-2.fna.fbcdn.net/v/t51.2885-19/438945680_313175971585698_8595262116103559957_n.jpg?stp=dst-jpg_s150x150_tt6&amp;efg=eyJ2ZW5jb2RlX3RhZyI6InByb2ZpbGVfcGljLmRqYW5nby4xMDgwLmMyIn0&amp;_nc_ht=instagram.fcgh5-2.fna.fbcdn.net&amp;_nc_cat=106&amp;_nc_oc=Q6cZ2gEr13-UToqjORQmSZnKOF1RKKyo_YjoQiJsj3qXb8Idne3rSn_GDaa0ZaTgnwg6o_CYLZTeed-w_4T2XdGrNZ13&amp;_nc_ohc=sWx8sgJXZn8Q7kNvwE7iOry&amp;_nc_gid=z-8tx7OGmuFPzfeD62MRVA&amp;edm=AI-cjbYBAAAA&amp;ccb=7-5&amp;oh=00_Af0a1uP8yKTGw9zRZROw98cfrIQSoSvN5xxYw1JtsGXVXA&amp;oe=69D91BA0&amp;_nc_sid=0985b0</t>
  </si>
  <si>
    <t>https://instagram.fcgh5-1.fna.fbcdn.net/v/t51.82787-19/628187018_18560372530026698_6545486507947714945_n.jpg?stp=dst-jpg_s150x150_tt6&amp;efg=eyJ2ZW5jb2RlX3RhZyI6InByb2ZpbGVfcGljLmRqYW5nby44MjcuYzIifQ&amp;_nc_ht=instagram.fcgh5-1.fna.fbcdn.net&amp;_nc_cat=1&amp;_nc_oc=Q6cZ2gHaCygytR67r2kwfM0Tasupky7xk280XXgRX0us9jjnng8-kTdKLTvpASFWVxWDYMwOCxrW0HGkVoEjxl5OFi9x&amp;_nc_ohc=eqAxvD6a5McQ7kNvwHNCD58&amp;_nc_gid=_6cEb_z7XWE7PBcXAeqpdg&amp;edm=AI-cjbYBAAAA&amp;ccb=7-5&amp;oh=00_Af3Nd1tcUCi0Hhia7S_5Eu05Q6IKiT00PKUbV--JQa23AA&amp;oe=69D90B3C&amp;_nc_sid=0985b0</t>
  </si>
  <si>
    <t>https://instagram.fcgh5-1.fna.fbcdn.net/v/t51.2885-19/18380872_338570583224566_1162579365637128192_a.jpg?stp=dst-jpg_s150x150_tt6&amp;efg=eyJ2ZW5jb2RlX3RhZyI6InByb2ZpbGVfcGljLmRqYW5nby44MzMuYzIifQ&amp;_nc_ht=instagram.fcgh5-1.fna.fbcdn.net&amp;_nc_cat=110&amp;_nc_oc=Q6cZ2gHaCygytR67r2kwfM0Tasupky7xk280XXgRX0us9jjnng8-kTdKLTvpASFWVxWDYMwOCxrW0HGkVoEjxl5OFi9x&amp;_nc_ohc=c4h3hVsl3XAQ7kNvwEkm0re&amp;_nc_gid=_6cEb_z7XWE7PBcXAeqpdg&amp;edm=AI-cjbYBAAAA&amp;ccb=7-5&amp;oh=00_Af3AgJ85dhn3VKFvN5pZuInPHg9TuKmp0lc3bIU3AL3-jw&amp;oe=69D8ECF0&amp;_nc_sid=0985b0</t>
  </si>
  <si>
    <t>https://instagram.fcgh5-2.fna.fbcdn.net/v/t51.2885-19/438945680_313175971585698_8595262116103559957_n.jpg?stp=dst-jpg_s150x150_tt6&amp;efg=eyJ2ZW5jb2RlX3RhZyI6InByb2ZpbGVfcGljLmRqYW5nby4xMDgwLmMyIn0&amp;_nc_ht=instagram.fcgh5-2.fna.fbcdn.net&amp;_nc_cat=106&amp;_nc_oc=Q6cZ2gHaCygytR67r2kwfM0Tasupky7xk280XXgRX0us9jjnng8-kTdKLTvpASFWVxWDYMwOCxrW0HGkVoEjxl5OFi9x&amp;_nc_ohc=sWx8sgJXZn8Q7kNvwE7iOry&amp;_nc_gid=_6cEb_z7XWE7PBcXAeqpdg&amp;edm=AI-cjbYBAAAA&amp;ccb=7-5&amp;oh=00_Af2x41a7dRt9Dg1Wsre8myWD_f5wgSpBrNBe2j_20JYVPg&amp;oe=69D91BA0&amp;_nc_sid=0985b0</t>
  </si>
  <si>
    <t>Great post</t>
  </si>
  <si>
    <t>19/08/2016, 00:20:54</t>
  </si>
  <si>
    <t>https://instagram.fcgh5-1.fna.fbcdn.net/v/t51.2885-19/14073000_772274102915882_799472422_a.jpg?stp=dst-jpg_s150x150_tt6&amp;efg=eyJ2ZW5jb2RlX3RhZyI6InByb2ZpbGVfcGljLmRqYW5nby4xMDAwLmMyIn0&amp;_nc_ht=instagram.fcgh5-1.fna.fbcdn.net&amp;_nc_cat=102&amp;_nc_oc=Q6cZ2gEoYUeSRAv5jTenGKyNddFXIdCZS9mH6VQgH9v3R1aWJQHBabueahRmTlQ5DB1F-oSKMZHA9k3w1bDCvavd9W0y&amp;_nc_ohc=ORy3oiOXXZ4Q7kNvwFDYaCA&amp;_nc_gid=TePwd92A8JFe3UAWXuZSDQ&amp;edm=AI-cjbYBAAAA&amp;ccb=7-5&amp;oh=00_Af3WfpmFRKObIQG6Ujt6ti0o4vH8LB3Bf8Clps_CAh4_QA&amp;oe=69D90A94&amp;_nc_sid=0985b0</t>
  </si>
  <si>
    <t>https://instagram.fcgh5-1.fna.fbcdn.net/v/t51.2885-19/14073000_772274102915882_799472422_a.jpg?stp=dst-jpg_s150x150_tt6&amp;efg=eyJ2ZW5jb2RlX3RhZyI6InByb2ZpbGVfcGljLmRqYW5nby4xMDAwLmMyIn0&amp;_nc_ht=instagram.fcgh5-1.fna.fbcdn.net&amp;_nc_cat=102&amp;_nc_oc=Q6cZ2gH8lnsUZFNTgfn2BEllMpbTFG--8en7ExvQReWGgRMRyQ50uEl8Z8EbKescqfwUTMYJfpl9OmtWbPXZNhRjgn5h&amp;_nc_ohc=ORy3oiOXXZ4Q7kNvwFDYaCA&amp;_nc_gid=33F_1cp7cdXmewB1x6Lw2Q&amp;edm=AI-cjbYBAAAA&amp;ccb=7-5&amp;oh=00_Af3H9A77fulw5kwMgxTRkpiGNwMR-tup-b2FruuuCuEEyw&amp;oe=69D90A94&amp;_nc_sid=0985b0</t>
  </si>
  <si>
    <t>artshineeventos</t>
  </si>
  <si>
    <t>✌️✌️</t>
  </si>
  <si>
    <t>26/08/2018, 18:02:10</t>
  </si>
  <si>
    <t>https://www.instagram.com/artshineeventos</t>
  </si>
  <si>
    <t>https://instagram.fcgh5-2.fna.fbcdn.net/v/t51.2885-19/371042900_313639211309568_3212224009270035261_n.jpg?stp=dst-jpg_s150x150_tt6&amp;efg=eyJ2ZW5jb2RlX3RhZyI6InByb2ZpbGVfcGljLmRqYW5nby4xMDc3LmMyIn0&amp;_nc_ht=instagram.fcgh5-2.fna.fbcdn.net&amp;_nc_cat=100&amp;_nc_oc=Q6cZ2gFD5oqIfjPWkwCSc6hL4lnpdtuzLOGaZx6qFeeEHW1er-_v2jKhFEFT-y7lTGGYK4y_YM4h7PCiQvmre9xORYZz&amp;_nc_ohc=q-K_3a6Y03YQ7kNvwF7CdeN&amp;_nc_gid=APN45NJgZc00b6buMostRw&amp;edm=AI-cjbYBAAAA&amp;ccb=7-5&amp;oh=00_Af07aJ4StJa9FdqmUxwUlEsALGaSpYueaxZaX2033G7flQ&amp;oe=69D8F3B1&amp;_nc_sid=0985b0</t>
  </si>
  <si>
    <t>senwellnesssanctuary</t>
  </si>
  <si>
    <t>✨</t>
  </si>
  <si>
    <t>21/08/2016, 15:28:04</t>
  </si>
  <si>
    <t>https://www.instagram.com/senwellnesssanctuary</t>
  </si>
  <si>
    <t>https://instagram.fcgh5-2.fna.fbcdn.net/v/t51.2885-19/465876536_1231757218054992_3022360395028710323_n.jpg?stp=dst-jpg_s150x150_tt6&amp;efg=eyJ2ZW5jb2RlX3RhZyI6InByb2ZpbGVfcGljLmRqYW5nby4xMDgwLmMyIn0&amp;_nc_ht=instagram.fcgh5-2.fna.fbcdn.net&amp;_nc_cat=100&amp;_nc_oc=Q6cZ2gFwnDX4WO95Ymf_B9iSbl6C-bv7W_8pdYo2Dn6_fgI24oXAGALhyKyrlAsnuM1TUk0_JcasBzITc54lePLMEGlG&amp;_nc_ohc=4tuiYHVbP1YQ7kNvwHX--fm&amp;_nc_gid=9gXAz3_jgUJ-fsGgCKWiyg&amp;edm=AI-cjbYBAAAA&amp;ccb=7-5&amp;oh=00_Af3UrvZc7mbVWj48QCDK8B9n5bjS0u9KSUnmymhkkvdQ4g&amp;oe=69D8F874&amp;_nc_sid=0985b0</t>
  </si>
  <si>
    <t>plurfect_lights</t>
  </si>
  <si>
    <t>Dope pic!</t>
  </si>
  <si>
    <t>01/10/2016, 06:28:06</t>
  </si>
  <si>
    <t>https://www.instagram.com/plurfect_lights</t>
  </si>
  <si>
    <t>https://instagram.fcgh5-2.fna.fbcdn.net/v/t51.2885-19/12093625_174470236225021_1062024092_a.jpg?stp=dst-jpg_s150x150_tt6&amp;efg=eyJ2ZW5jb2RlX3RhZyI6InByb2ZpbGVfcGljLmRqYW5nby44NjQuYzIifQ&amp;_nc_ht=instagram.fcgh5-2.fna.fbcdn.net&amp;_nc_cat=101&amp;_nc_oc=Q6cZ2gFwnDX4WO95Ymf_B9iSbl6C-bv7W_8pdYo2Dn6_fgI24oXAGALhyKyrlAsnuM1TUk0_JcasBzITc54lePLMEGlG&amp;_nc_ohc=3_O30VpdLnAQ7kNvwEmyuBW&amp;_nc_gid=9gXAz3_jgUJ-fsGgCKWiyg&amp;edm=AI-cjbYBAAAA&amp;ccb=7-5&amp;oh=00_Af2-ZNuq3rFakKX1tvQ85sBjw9Q-at2eVhj88Cyv0G-6jQ&amp;oe=69D8EB75&amp;_nc_sid=0985b0</t>
  </si>
  <si>
    <t>vivimidia</t>
  </si>
  <si>
    <t>Ameiiiii</t>
  </si>
  <si>
    <t>20/08/2016, 22:41:20</t>
  </si>
  <si>
    <t>https://www.instagram.com/vivimidia</t>
  </si>
  <si>
    <t>https://instagram.fcgh5-1.fna.fbcdn.net/v/t51.82787-19/629192159_18552724234054502_2673385030381474984_n.jpg?stp=dst-jpg_s150x150_tt6&amp;efg=eyJ2ZW5jb2RlX3RhZyI6InByb2ZpbGVfcGljLmRqYW5nby4xMDgwLmMyIn0&amp;_nc_ht=instagram.fcgh5-1.fna.fbcdn.net&amp;_nc_cat=102&amp;_nc_oc=Q6cZ2gECJ90ER98bVxc194ETc0d-Tal4Miz7VO68VFuxETcZuV-74Umgs6YIpJ_dWhmndMchhwHop7UwwREpv1j-Hs0d&amp;_nc_ohc=G456tT05DO0Q7kNvwHWuJKr&amp;_nc_gid=iwIbQyK7YVUVmuPbfsyFsw&amp;edm=AI-cjbYBAAAA&amp;ccb=7-5&amp;oh=00_Af2Udqqo4wzQiEGbnJRJXZ2oRKuD6nxWtNzj8y19g-wNrA&amp;oe=69D90F59&amp;_nc_sid=0985b0</t>
  </si>
  <si>
    <t>restodelasemana</t>
  </si>
  <si>
    <t>Si te interesa la movida gastronómica y descubrir nuevos sitios para comer, no dejes de seguir nuestra cuenta de Instagram!</t>
  </si>
  <si>
    <t>07/06/2018, 11:29:53</t>
  </si>
  <si>
    <t>https://www.instagram.com/restodelasemana</t>
  </si>
  <si>
    <t>https://instagram.fcgh5-2.fna.fbcdn.net/v/t51.2885-19/30077356_157940764897470_4706092814092468224_n.jpg?stp=dst-jpg_s150x150_tt6&amp;efg=eyJ2ZW5jb2RlX3RhZyI6InByb2ZpbGVfcGljLmRqYW5nby40OTguYzIifQ&amp;_nc_ht=instagram.fcgh5-2.fna.fbcdn.net&amp;_nc_cat=106&amp;_nc_oc=Q6cZ2gE_afu4_P2D_LqlJ99J7Qa3wSSdkbTyCongHRcRNNteKm5rFNAA1hJCXTjKvJa4i2fovIcoJ8jKRsOI6kZzcfS3&amp;_nc_ohc=da3hrKVP0IYQ7kNvwHDzgzi&amp;_nc_gid=zB3adx-ObKkbiDI1WoTbPg&amp;edm=AI-cjbYBAAAA&amp;ccb=7-5&amp;oh=00_Af3SOZIelgFXGyf5GdE21jiiejr14EORxbSme6BpE-m2jg&amp;oe=69D8C93B&amp;_nc_sid=0985b0</t>
  </si>
  <si>
    <t>eliasmedeiros</t>
  </si>
  <si>
    <t>30/08/2016, 18:49:58</t>
  </si>
  <si>
    <t>https://www.instagram.com/eliasmedeiros</t>
  </si>
  <si>
    <t>https://instagram.fcgh5-2.fna.fbcdn.net/v/t51.82787-19/640407795_18574648384006993_2953456300073797909_n.jpg?stp=dst-jpg_s150x150_tt6&amp;efg=eyJ2ZW5jb2RlX3RhZyI6InByb2ZpbGVfcGljLmRqYW5nby4xMDgwLmMyIn0&amp;_nc_ht=instagram.fcgh5-2.fna.fbcdn.net&amp;_nc_cat=101&amp;_nc_oc=Q6cZ2gFBeqMPiiVh_6L_mFGXLxZ7XPUe7NDS781PEK2xyKS4rgospB7gRb3YdVvHNjcWMurHVc-oOlhz7MArZAVFKSqB&amp;_nc_ohc=VUUhT5uOjUcQ7kNvwGEN_tQ&amp;_nc_gid=zu1hrVfpmEtZds1-_24f7w&amp;edm=AI-cjbYBAAAA&amp;ccb=7-5&amp;oh=00_Af3nFxct41C7d5g1iuh0Epuwf__0hYSNyY6knMUdHzhxTQ&amp;oe=69D8F82F&amp;_nc_sid=0985b0</t>
  </si>
  <si>
    <t>retromeurbanretreat</t>
  </si>
  <si>
    <t>😀</t>
  </si>
  <si>
    <t>31/08/2016, 17:13:19</t>
  </si>
  <si>
    <t>https://www.instagram.com/retromeurbanretreat</t>
  </si>
  <si>
    <t>https://instagram.fcgh5-2.fna.fbcdn.net/v/t51.2885-19/12237319_1736270016601057_1660677767_a.jpg?stp=dst-jpg_s150x150_tt6&amp;efg=eyJ2ZW5jb2RlX3RhZyI6InByb2ZpbGVfcGljLmRqYW5nby40NjkuYzIifQ&amp;_nc_ht=instagram.fcgh5-2.fna.fbcdn.net&amp;_nc_cat=101&amp;_nc_oc=Q6cZ2gFBeqMPiiVh_6L_mFGXLxZ7XPUe7NDS781PEK2xyKS4rgospB7gRb3YdVvHNjcWMurHVc-oOlhz7MArZAVFKSqB&amp;_nc_ohc=tLiAn5_fnKMQ7kNvwEbbRIL&amp;_nc_gid=zu1hrVfpmEtZds1-_24f7w&amp;edm=AI-cjbYBAAAA&amp;ccb=7-5&amp;oh=00_Af2iph611VQCvT457EIXGhipvZo2GkAE0GT0f2LVJL3cKQ&amp;oe=69D8F34E&amp;_nc_sid=0985b0</t>
  </si>
  <si>
    <t>https://instagram.fcgh5-2.fna.fbcdn.net/v/t51.82787-19/640407795_18574648384006993_2953456300073797909_n.jpg?stp=dst-jpg_s150x150_tt6&amp;efg=eyJ2ZW5jb2RlX3RhZyI6InByb2ZpbGVfcGljLmRqYW5nby4xMDgwLmMyIn0&amp;_nc_ht=instagram.fcgh5-2.fna.fbcdn.net&amp;_nc_cat=101&amp;_nc_oc=Q6cZ2gFGuiqWFnsaEZK5U5fkoDhHvVJyVLyjLMMFwJpHt2FSharnWuKxTMYsR0FRFRFgySBIBSQeW0MTcm9vbi6-FVA6&amp;_nc_ohc=VUUhT5uOjUcQ7kNvwGEN_tQ&amp;_nc_gid=AD9S3I5iFVhYaKGHn9gHmA&amp;edm=AI-cjbYBAAAA&amp;ccb=7-5&amp;oh=00_Af19jT0BOzzaZ9nlT6jHLHENQ9qPXm7opL7SGkgVZz2DRA&amp;oe=69D8F82F&amp;_nc_sid=0985b0</t>
  </si>
  <si>
    <t>https://instagram.fcgh5-2.fna.fbcdn.net/v/t51.2885-19/12237319_1736270016601057_1660677767_a.jpg?stp=dst-jpg_s150x150_tt6&amp;efg=eyJ2ZW5jb2RlX3RhZyI6InByb2ZpbGVfcGljLmRqYW5nby40NjkuYzIifQ&amp;_nc_ht=instagram.fcgh5-2.fna.fbcdn.net&amp;_nc_cat=101&amp;_nc_oc=Q6cZ2gFGuiqWFnsaEZK5U5fkoDhHvVJyVLyjLMMFwJpHt2FSharnWuKxTMYsR0FRFRFgySBIBSQeW0MTcm9vbi6-FVA6&amp;_nc_ohc=tLiAn5_fnKMQ7kNvwEbbRIL&amp;_nc_gid=AD9S3I5iFVhYaKGHn9gHmA&amp;edm=AI-cjbYBAAAA&amp;ccb=7-5&amp;oh=00_Af3Et853AyyCrlecPkrMenxh__S5x7N8P24a4YanqqKtvw&amp;oe=69D8F34E&amp;_nc_sid=0985b0</t>
  </si>
  <si>
    <t>modernmammaosteria</t>
  </si>
  <si>
    <t>03/09/2016, 14:20:06</t>
  </si>
  <si>
    <t>https://www.instagram.com/modernmammaosteria</t>
  </si>
  <si>
    <t>https://instagram.fcgh5-2.fna.fbcdn.net/v/t51.2885-19/491448756_18405719203109083_3538034771704280207_n.jpg?stp=dst-jpg_s150x150_tt6&amp;efg=eyJ2ZW5jb2RlX3RhZyI6InByb2ZpbGVfcGljLmRqYW5nby4xMDgwLmMyIn0&amp;_nc_ht=instagram.fcgh5-2.fna.fbcdn.net&amp;_nc_cat=107&amp;_nc_oc=Q6cZ2gHOHu0pcZhvURz2ExPaQdRK9dICSRY3cPyCURTK_UmyFmJcIMjZ9sDdaymzdkiV4xMVxqJSzRkQWFxhS8Uapif9&amp;_nc_ohc=sGTH91kNglwQ7kNvwGREIB3&amp;_nc_gid=X0s4XP2i8HFL80JzdYeWpA&amp;edm=AI-cjbYBAAAA&amp;ccb=7-5&amp;oh=00_Af06tNPZIYKwzhSZIyPXL3zBy56PUJBDpj1ualzmPXW9Cw&amp;oe=69D90EDF&amp;_nc_sid=0985b0</t>
  </si>
  <si>
    <t>Parabéns a equipe em especial a jornalista Vanessa Barboza</t>
  </si>
  <si>
    <t>22/08/2016, 17:42:35</t>
  </si>
  <si>
    <t>https://instagram.fcgh5-1.fna.fbcdn.net/v/t51.82787-19/629192159_18552724234054502_2673385030381474984_n.jpg?stp=dst-jpg_s150x150_tt6&amp;efg=eyJ2ZW5jb2RlX3RhZyI6InByb2ZpbGVfcGljLmRqYW5nby4xMDgwLmMyIn0&amp;_nc_ht=instagram.fcgh5-1.fna.fbcdn.net&amp;_nc_cat=102&amp;_nc_oc=Q6cZ2gGas9Q8-A08w3CqqQ8WGSIBDryvvB8cdJvZ-z-npAQTYW0K4LP0PMtu3qNFIQzfUfcGpma_k07R2u0GUyQmFP40&amp;_nc_ohc=G456tT05DO0Q7kNvwHWuJKr&amp;_nc_gid=3KaX2_YSiwmnlioXyB8czg&amp;edm=AI-cjbYBAAAA&amp;ccb=7-5&amp;oh=00_Af1CBc_gWZ4u13CUE3PJB0GF-HZQe0G8KmDzm8lIAuwWMg&amp;oe=69D90F59&amp;_nc_sid=0985b0</t>
  </si>
  <si>
    <t>titi_paiva</t>
  </si>
  <si>
    <t>@vieira2468</t>
  </si>
  <si>
    <t>19/09/2018, 15:25:19</t>
  </si>
  <si>
    <t>https://www.instagram.com/titi_paiva</t>
  </si>
  <si>
    <t>https://instagram.fcgh5-1.fna.fbcdn.net/v/t51.2885-19/37277716_294639701102357_7586214087978123264_n.jpg?stp=dst-jpg_s150x150_tt6&amp;efg=eyJ2ZW5jb2RlX3RhZyI6InByb2ZpbGVfcGljLmRqYW5nby4xMDgwLmMyIn0&amp;_nc_ht=instagram.fcgh5-1.fna.fbcdn.net&amp;_nc_cat=105&amp;_nc_oc=Q6cZ2gHQPYlZjA_1bSiY9_x0_CIZWoaNW9DprTrHMivpsBNwZPlgfdPr00bbSkJumYdV2fzJowvF8o1RlY1sLVU6JFSa&amp;_nc_ohc=_nJwp8etOCYQ7kNvwFYS-eW&amp;_nc_gid=-0LC3GNcMbWwrDhU8R4vHw&amp;edm=AI-cjbYBAAAA&amp;ccb=7-5&amp;oh=00_Af3jamaOf0EmOEsG9GhMMDaDac4sdZiMU-mKGPelR3PHsg&amp;oe=69D8DC34&amp;_nc_sid=0985b0</t>
  </si>
  <si>
    <t>https://instagram.fcgh5-1.fna.fbcdn.net/v/t51.2885-19/37277716_294639701102357_7586214087978123264_n.jpg?stp=dst-jpg_s150x150_tt6&amp;efg=eyJ2ZW5jb2RlX3RhZyI6InByb2ZpbGVfcGljLmRqYW5nby4xMDgwLmMyIn0&amp;_nc_ht=instagram.fcgh5-1.fna.fbcdn.net&amp;_nc_cat=105&amp;_nc_oc=Q6cZ2gFRkY9PG6JAxuccoW8ApNChezB8Na_ay5OykekRgnlaouAPmOAHGEkMpBLbMVMkcBkjwNWFryyaNLps6EGrPwGk&amp;_nc_ohc=_nJwp8etOCYQ7kNvwFYS-eW&amp;_nc_gid=vaiqGp3Pozbk_VLjRV9Juw&amp;edm=AI-cjbYBAAAA&amp;ccb=7-5&amp;oh=00_Af370HDmYOjVYFtYkiMWbP33I4hJX567RlZztRVOJatK_g&amp;oe=69D8DC34&amp;_nc_sid=0985b0</t>
  </si>
  <si>
    <t>alizeoriginal</t>
  </si>
  <si>
    <t>Sick!</t>
  </si>
  <si>
    <t>28/09/2016, 10:38:53</t>
  </si>
  <si>
    <t>https://www.instagram.com/alizeoriginal</t>
  </si>
  <si>
    <t>https://instagram.fcgh5-2.fna.fbcdn.net/v/t51.2885-19/392737302_272682519086761_4902446438010762915_n.jpg?stp=dst-jpg_s150x150_tt6&amp;efg=eyJ2ZW5jb2RlX3RhZyI6InByb2ZpbGVfcGljLmRqYW5nby4xMDgwLmMyIn0&amp;_nc_ht=instagram.fcgh5-2.fna.fbcdn.net&amp;_nc_cat=101&amp;_nc_oc=Q6cZ2gEwaaVsMDi6kcNVwbpndoExT-Hzs-1nqHhFBkqtM2A6dRerH541J3MBS7EBlpDfXkdoueGfpyLG92SmANCxldvu&amp;_nc_ohc=TftPxE_2piAQ7kNvwFcM8nt&amp;_nc_gid=BH6Whh7ISWQCrHdFvTSg4A&amp;edm=AI-cjbYBAAAA&amp;ccb=7-5&amp;oh=00_Af0PG3_Ww3gVtTAzRJLeSaTIMWAOAKjKmeQzZLTeD3GOGg&amp;oe=69D8E5F1&amp;_nc_sid=0985b0</t>
  </si>
  <si>
    <t>viei1714</t>
  </si>
  <si>
    <t>3 x0 Brasil</t>
  </si>
  <si>
    <t>05/07/2018, 11:52:54</t>
  </si>
  <si>
    <t>https://www.instagram.com/viei1714</t>
  </si>
  <si>
    <t>https://instagram.fcgh5-2.fna.fbcdn.net/v/t51.2885-19/53492061_598063937288119_5960494397219930112_n.jpg?stp=dst-jpg_s150x150_tt6&amp;efg=eyJ2ZW5jb2RlX3RhZyI6InByb2ZpbGVfcGljLmRqYW5nby41MDMuYzIifQ&amp;_nc_ht=instagram.fcgh5-2.fna.fbcdn.net&amp;_nc_cat=107&amp;_nc_oc=Q6cZ2gEvR-O9WFDVjFT6i_kuuZLA31m4YhykRT_mMZcI3eecwFebCnoh0ZO4E1GqupGBGsmOp7x_Zaqdx1klGu3Zqbo5&amp;_nc_ohc=6oRzDlDHiFUQ7kNvwGsdleh&amp;_nc_gid=1pVNzrqdoUs1RoLudgtoRA&amp;edm=AI-cjbYBAAAA&amp;ccb=7-5&amp;oh=00_Af0KszZBLHBGBFMnf-R30k_NgyV78GjQmLH8hZOUpkreLA&amp;oe=69D8BEC1&amp;_nc_sid=0985b0</t>
  </si>
  <si>
    <t>mellato_oficial</t>
  </si>
  <si>
    <t>Hummmm a gente também AMA sorvete! #mellatogellato</t>
  </si>
  <si>
    <t>16/09/2016, 21:03:52</t>
  </si>
  <si>
    <t>https://www.instagram.com/mellato_oficial</t>
  </si>
  <si>
    <t>https://instagram.fcgh5-2.fna.fbcdn.net/v/t51.2885-19/38749744_229523844577468_8815700209339203584_n.jpg?stp=dst-jpg_s150x150_tt6&amp;efg=eyJ2ZW5jb2RlX3RhZyI6InByb2ZpbGVfcGljLmRqYW5nby41MjkuYzIifQ&amp;_nc_ht=instagram.fcgh5-2.fna.fbcdn.net&amp;_nc_cat=104&amp;_nc_oc=Q6cZ2gF5RUerk-DRCbkGhH3f870LnjclnjqCyonK_BIgCxnaloiXSj4ChiiCFmqbmAb1oCRfYbjIrTzk7LIrVCXvny6O&amp;_nc_ohc=QQVrslyEvtcQ7kNvwEUN-eJ&amp;_nc_gid=TlSayl-RBx5bkdjE1chXkg&amp;edm=AI-cjbYBAAAA&amp;ccb=7-5&amp;oh=00_Af1PSHN6EbhswNtITqrJsUgJ13B-18jHATfp-gRXz_YEow&amp;oe=69D91092&amp;_nc_sid=0985b0</t>
  </si>
  <si>
    <t>bane_saurus</t>
  </si>
  <si>
    <t>17/09/2016, 09:27:31</t>
  </si>
  <si>
    <t>https://www.instagram.com/bane_saurus</t>
  </si>
  <si>
    <t>https://instagram.fcgh5-2.fna.fbcdn.net/v/t51.2885-19/461606115_874053977729473_6373139929956565767_n.jpg?stp=dst-jpg_s150x150_tt6&amp;efg=eyJ2ZW5jb2RlX3RhZyI6InByb2ZpbGVfcGljLmRqYW5nby4xMDgwLmMyIn0&amp;_nc_ht=instagram.fcgh5-2.fna.fbcdn.net&amp;_nc_cat=101&amp;_nc_oc=Q6cZ2gF5RUerk-DRCbkGhH3f870LnjclnjqCyonK_BIgCxnaloiXSj4ChiiCFmqbmAb1oCRfYbjIrTzk7LIrVCXvny6O&amp;_nc_ohc=xa5DSRw6ogwQ7kNvwGjE_0Z&amp;_nc_gid=TlSayl-RBx5bkdjE1chXkg&amp;edm=AI-cjbYBAAAA&amp;ccb=7-5&amp;oh=00_Af3GgYdzrFatyfmj0bqGdmg0mckxn2WOQjdkbWy1Lpi0Ug&amp;oe=69D90859&amp;_nc_sid=0985b0</t>
  </si>
  <si>
    <t>tonaight.samui</t>
  </si>
  <si>
    <t>19/09/2016, 16:51:05</t>
  </si>
  <si>
    <t>https://www.instagram.com/tonaight.samui</t>
  </si>
  <si>
    <t>https://instagram.fcgh5-1.fna.fbcdn.net/v/t51.2885-19/489055246_1737901906761344_6214544747787527068_n.jpg?stp=dst-jpg_s150x150_tt6&amp;efg=eyJ2ZW5jb2RlX3RhZyI6InByb2ZpbGVfcGljLmRqYW5nby4xMDgwLmMyIn0&amp;_nc_ht=instagram.fcgh5-1.fna.fbcdn.net&amp;_nc_cat=108&amp;_nc_oc=Q6cZ2gEhRtSYhgZ2tmc86tLyhgolJpYOs5J8LcNKGo0fGERpqDZEJVswery5f7YEg1Zx1Vdf2LdNHBLGTRnSEF0SmoHc&amp;_nc_ohc=_3yFuAKz3VIQ7kNvwF10xbU&amp;_nc_gid=I97AA1lic1vQ3t30R_xnig&amp;edm=AI-cjbYBAAAA&amp;ccb=7-5&amp;oh=00_Af1bIHBlEAV3GYMaGCo_qCQWAyjmkjBXAI9u6UkNthS3Ow&amp;oe=69D8F139&amp;_nc_sid=0985b0</t>
  </si>
  <si>
    <t>oi_rudao</t>
  </si>
  <si>
    <t>Essa imagem está muito bonita!</t>
  </si>
  <si>
    <t>16/09/2016, 17:34:31</t>
  </si>
  <si>
    <t>https://www.instagram.com/oi_rudao</t>
  </si>
  <si>
    <t>https://instagram.fcgh5-1.fna.fbcdn.net/v/t51.2885-19/448476853_823458529334266_400942668111521733_n.jpg?stp=dst-jpg_s150x150_tt6&amp;efg=eyJ2ZW5jb2RlX3RhZyI6InByb2ZpbGVfcGljLmRqYW5nby4xMDgwLmMyIn0&amp;_nc_ht=instagram.fcgh5-1.fna.fbcdn.net&amp;_nc_cat=110&amp;_nc_oc=Q6cZ2gGsYHcLyiOT-cUsKHj2kxUtx7cu_hQ9kHV8nMdNKyA1qqyQ5UnTf9C3PpswlG7QHOLLIn0nP9Nk0mau4SPsjTO0&amp;_nc_ohc=-GEvQv_ItYEQ7kNvwEK1U4B&amp;_nc_gid=O93Mgl55Zl7mq3B8N03W1g&amp;edm=AI-cjbYBAAAA&amp;ccb=7-5&amp;oh=00_Af0MMWzZ_3DYis8YHEyNdAxOvA3e8oEpYlxrzxode4jsEw&amp;oe=69D9129B&amp;_nc_sid=0985b0</t>
  </si>
  <si>
    <t>visualofluc</t>
  </si>
  <si>
    <t>Nice image &lt;3</t>
  </si>
  <si>
    <t>16/09/2016, 18:11:17</t>
  </si>
  <si>
    <t>https://www.instagram.com/visualofluc</t>
  </si>
  <si>
    <t>https://instagram.fcgh5-1.fna.fbcdn.net/v/t51.2885-19/10448936_288640114643273_660519047_a.jpg?stp=dst-jpg_s150x150_tt6&amp;efg=eyJ2ZW5jb2RlX3RhZyI6InByb2ZpbGVfcGljLmRqYW5nby4xNTAuYzIifQ&amp;_nc_ht=instagram.fcgh5-1.fna.fbcdn.net&amp;_nc_cat=105&amp;_nc_oc=Q6cZ2gGsYHcLyiOT-cUsKHj2kxUtx7cu_hQ9kHV8nMdNKyA1qqyQ5UnTf9C3PpswlG7QHOLLIn0nP9Nk0mau4SPsjTO0&amp;_nc_ohc=7lJ8tyBSno8Q7kNvwGiBXwZ&amp;_nc_gid=O93Mgl55Zl7mq3B8N03W1g&amp;edm=AI-cjbYBAAAA&amp;ccb=7-5&amp;oh=00_Af001AXDqe3pge3lQGUrxMW1-zwRzabG9PPE9G67XUmrNA&amp;oe=69D8F5AD&amp;_nc_sid=0985b0</t>
  </si>
  <si>
    <t>jeromegalland</t>
  </si>
  <si>
    <t>😃😃😃</t>
  </si>
  <si>
    <t>17/09/2016, 15:14:21</t>
  </si>
  <si>
    <t>https://www.instagram.com/jeromegalland</t>
  </si>
  <si>
    <t>https://instagram.fcgh5-2.fna.fbcdn.net/v/t51.2885-19/10706687_1512418442336376_773792869_a.jpg?stp=dst-jpg_s150x150_tt6&amp;efg=eyJ2ZW5jb2RlX3RhZyI6InByb2ZpbGVfcGljLmRqYW5nby4xNTAuYzIifQ&amp;_nc_ht=instagram.fcgh5-2.fna.fbcdn.net&amp;_nc_cat=100&amp;_nc_oc=Q6cZ2gGsYHcLyiOT-cUsKHj2kxUtx7cu_hQ9kHV8nMdNKyA1qqyQ5UnTf9C3PpswlG7QHOLLIn0nP9Nk0mau4SPsjTO0&amp;_nc_ohc=0mODLM4_1sgQ7kNvwHal6L8&amp;_nc_gid=O93Mgl55Zl7mq3B8N03W1g&amp;edm=AI-cjbYBAAAA&amp;ccb=7-5&amp;oh=00_Af1xQfgwbUkajgRFUgCiYs0P9JtmJ-XKZZvxzzY11r-CaQ&amp;oe=69D90853&amp;_nc_sid=0985b0</t>
  </si>
  <si>
    <t>https://instagram.fcgh5-1.fna.fbcdn.net/v/t51.2885-19/448476853_823458529334266_400942668111521733_n.jpg?stp=dst-jpg_s150x150_tt6&amp;efg=eyJ2ZW5jb2RlX3RhZyI6InByb2ZpbGVfcGljLmRqYW5nby4xMDgwLmMyIn0&amp;_nc_ht=instagram.fcgh5-1.fna.fbcdn.net&amp;_nc_cat=110&amp;_nc_oc=Q6cZ2gHykm7KnDbCQRKb9X1p8ScEYbJ9n7NfscItTCm8qylo6EBQx06-UmijMqV6PjTarXJ6xaJdVhLa_RvfpxMrzyP1&amp;_nc_ohc=-GEvQv_ItYEQ7kNvwEK1U4B&amp;_nc_gid=lmmTMuLO63S-g8o3xjJk0w&amp;edm=AI-cjbYBAAAA&amp;ccb=7-5&amp;oh=00_Af2nsJ_GGG_SSUOMO_EHfxAZ7p8hELFsdbT6FkeqqnRMdA&amp;oe=69D9129B&amp;_nc_sid=0985b0</t>
  </si>
  <si>
    <t>https://instagram.fcgh5-1.fna.fbcdn.net/v/t51.2885-19/10448936_288640114643273_660519047_a.jpg?stp=dst-jpg_s150x150_tt6&amp;efg=eyJ2ZW5jb2RlX3RhZyI6InByb2ZpbGVfcGljLmRqYW5nby4xNTAuYzIifQ&amp;_nc_ht=instagram.fcgh5-1.fna.fbcdn.net&amp;_nc_cat=105&amp;_nc_oc=Q6cZ2gHykm7KnDbCQRKb9X1p8ScEYbJ9n7NfscItTCm8qylo6EBQx06-UmijMqV6PjTarXJ6xaJdVhLa_RvfpxMrzyP1&amp;_nc_ohc=7lJ8tyBSno8Q7kNvwGiBXwZ&amp;_nc_gid=lmmTMuLO63S-g8o3xjJk0w&amp;edm=AI-cjbYBAAAA&amp;ccb=7-5&amp;oh=00_Af1WEjXa2-k2JHnprpBtRmhBdyXi30Ew2aKMkihd1v7YkQ&amp;oe=69D8F5AD&amp;_nc_sid=0985b0</t>
  </si>
  <si>
    <t>https://instagram.fcgh5-2.fna.fbcdn.net/v/t51.2885-19/10706687_1512418442336376_773792869_a.jpg?stp=dst-jpg_s150x150_tt6&amp;efg=eyJ2ZW5jb2RlX3RhZyI6InByb2ZpbGVfcGljLmRqYW5nby4xNTAuYzIifQ&amp;_nc_ht=instagram.fcgh5-2.fna.fbcdn.net&amp;_nc_cat=100&amp;_nc_oc=Q6cZ2gHykm7KnDbCQRKb9X1p8ScEYbJ9n7NfscItTCm8qylo6EBQx06-UmijMqV6PjTarXJ6xaJdVhLa_RvfpxMrzyP1&amp;_nc_ohc=0mODLM4_1sgQ7kNvwHal6L8&amp;_nc_gid=lmmTMuLO63S-g8o3xjJk0w&amp;edm=AI-cjbYBAAAA&amp;ccb=7-5&amp;oh=00_Af3769ZQm4ipDOBfHt1pXhIdCoq7HNNqehmbnnrcgEq2fg&amp;oe=69D90853&amp;_nc_sid=0985b0</t>
  </si>
  <si>
    <t>Hummm!!! Que delicia!!</t>
  </si>
  <si>
    <t>15/06/2018, 17:52:09</t>
  </si>
  <si>
    <t>https://instagram.fcgh5-2.fna.fbcdn.net/v/t51.2885-19/38749744_229523844577468_8815700209339203584_n.jpg?stp=dst-jpg_s150x150_tt6&amp;efg=eyJ2ZW5jb2RlX3RhZyI6InByb2ZpbGVfcGljLmRqYW5nby41MjkuYzIifQ&amp;_nc_ht=instagram.fcgh5-2.fna.fbcdn.net&amp;_nc_cat=104&amp;_nc_oc=Q6cZ2gHYXV-PC1vX2zB3fvknQjQ7-8hw_f_ODFLXf0-aeXtd3yLQ_lRfZ_cjIp-ZohpJ76Tj9BPGMv9KyyATYZijZGIf&amp;_nc_ohc=QQVrslyEvtcQ7kNvwEUN-eJ&amp;_nc_gid=Hhh8E8xd3-OTFcvgy3BgBA&amp;edm=AI-cjbYBAAAA&amp;ccb=7-5&amp;oh=00_Af1hhsbeDrt7IAMW3e5hNXfA1qzHrzONS3sVzg7l4mBqYQ&amp;oe=69D8D852&amp;_nc_sid=0985b0</t>
  </si>
  <si>
    <t>annynovaes100</t>
  </si>
  <si>
    <t>Amo😍</t>
  </si>
  <si>
    <t>08/09/2018, 02:22:26</t>
  </si>
  <si>
    <t>https://www.instagram.com/annynovaes100</t>
  </si>
  <si>
    <t>https://instagram.fcgh5-2.fna.fbcdn.net/v/t51.82787-19/632503237_18559610410034359_4079426023992136141_n.jpg?stp=dst-jpg_s150x150_tt6&amp;efg=eyJ2ZW5jb2RlX3RhZyI6InByb2ZpbGVfcGljLmRqYW5nby4xMDgwLmMyIn0&amp;_nc_ht=instagram.fcgh5-2.fna.fbcdn.net&amp;_nc_cat=107&amp;_nc_oc=Q6cZ2gHYXV-PC1vX2zB3fvknQjQ7-8hw_f_ODFLXf0-aeXtd3yLQ_lRfZ_cjIp-ZohpJ76Tj9BPGMv9KyyATYZijZGIf&amp;_nc_ohc=bJvg5jOqYWsQ7kNvwEnYdXB&amp;_nc_gid=Hhh8E8xd3-OTFcvgy3BgBA&amp;edm=AI-cjbYBAAAA&amp;ccb=7-5&amp;oh=00_Af2yLgtieBDlG5cfVpNuLOkPLZYj4wDjNW8OvzJegwfi0Q&amp;oe=69D8CAB4&amp;_nc_sid=0985b0</t>
  </si>
  <si>
    <t>https://instagram.fcgh5-2.fna.fbcdn.net/v/t51.2885-19/38749744_229523844577468_8815700209339203584_n.jpg?stp=dst-jpg_s150x150_tt6&amp;efg=eyJ2ZW5jb2RlX3RhZyI6InByb2ZpbGVfcGljLmRqYW5nby41MjkuYzIifQ&amp;_nc_ht=instagram.fcgh5-2.fna.fbcdn.net&amp;_nc_cat=104&amp;_nc_oc=Q6cZ2gEwzRetpUiW7DySBwkNIXwS4BkKDRm-jr8crya1kvvY5zAk59UdGnLkC55H6E1ZFQiHWSZJjm5GSjgfamwSp3dS&amp;_nc_ohc=QQVrslyEvtcQ7kNvwEUN-eJ&amp;_nc_gid=f8F-FhD3d_sBtUQTTemJ5A&amp;edm=AI-cjbYBAAAA&amp;ccb=7-5&amp;oh=00_Af3L6E0eAKCu-L3TCOoHHfhQ_Ep7ki1N4XZ9C_vBQezgfQ&amp;oe=69D8D852&amp;_nc_sid=0985b0</t>
  </si>
  <si>
    <t>https://instagram.fcgh5-2.fna.fbcdn.net/v/t51.82787-19/632503237_18559610410034359_4079426023992136141_n.jpg?stp=dst-jpg_s150x150_tt6&amp;efg=eyJ2ZW5jb2RlX3RhZyI6InByb2ZpbGVfcGljLmRqYW5nby4xMDgwLmMyIn0&amp;_nc_ht=instagram.fcgh5-2.fna.fbcdn.net&amp;_nc_cat=107&amp;_nc_oc=Q6cZ2gEwzRetpUiW7DySBwkNIXwS4BkKDRm-jr8crya1kvvY5zAk59UdGnLkC55H6E1ZFQiHWSZJjm5GSjgfamwSp3dS&amp;_nc_ohc=bJvg5jOqYWsQ7kNvwEnYdXB&amp;_nc_gid=f8F-FhD3d_sBtUQTTemJ5A&amp;edm=AI-cjbYBAAAA&amp;ccb=7-5&amp;oh=00_Af2Vaq26vxKHCzBxsuwUT9ASayv5gwUEhpm8_tBp_hhC0g&amp;oe=69D8CAB4&amp;_nc_sid=0985b0</t>
  </si>
  <si>
    <t>https://instagram.fcgh5-2.fna.fbcdn.net/v/t51.2885-19/38749744_229523844577468_8815700209339203584_n.jpg?stp=dst-jpg_s150x150_tt6&amp;efg=eyJ2ZW5jb2RlX3RhZyI6InByb2ZpbGVfcGljLmRqYW5nby41MjkuYzIifQ&amp;_nc_ht=instagram.fcgh5-2.fna.fbcdn.net&amp;_nc_cat=104&amp;_nc_oc=Q6cZ2gFCrCYIYPrFT0xcSegoGPO8djbzNeKFn0boLmWVy4dV7CF1TDNI9B44eysjCoHutk-1kvK1ayJx09VlXqbboEmk&amp;_nc_ohc=QQVrslyEvtcQ7kNvwEUN-eJ&amp;_nc_gid=H7Pvzs4AGi5OtdOTBty7Yg&amp;edm=AI-cjbYBAAAA&amp;ccb=7-5&amp;oh=00_Af2sSsGu_WN2k3YRX0uIpUPGkiWYtZiKhcdkVqYnUHAoZg&amp;oe=69D8D852&amp;_nc_sid=0985b0</t>
  </si>
  <si>
    <t>https://instagram.fcgh5-2.fna.fbcdn.net/v/t51.82787-19/632503237_18559610410034359_4079426023992136141_n.jpg?stp=dst-jpg_s150x150_tt6&amp;efg=eyJ2ZW5jb2RlX3RhZyI6InByb2ZpbGVfcGljLmRqYW5nby4xMDgwLmMyIn0&amp;_nc_ht=instagram.fcgh5-2.fna.fbcdn.net&amp;_nc_cat=107&amp;_nc_oc=Q6cZ2gFCrCYIYPrFT0xcSegoGPO8djbzNeKFn0boLmWVy4dV7CF1TDNI9B44eysjCoHutk-1kvK1ayJx09VlXqbboEmk&amp;_nc_ohc=bJvg5jOqYWsQ7kNvwEnYdXB&amp;_nc_gid=H7Pvzs4AGi5OtdOTBty7Yg&amp;edm=AI-cjbYBAAAA&amp;ccb=7-5&amp;oh=00_Af1GJT-iPVDOpy8ljRCxQHgV9R-bB8AvksqN4NTpxDi4hA&amp;oe=69D8CAB4&amp;_nc_sid=0985b0</t>
  </si>
  <si>
    <t>paineirascorcovado</t>
  </si>
  <si>
    <t>✅..</t>
  </si>
  <si>
    <t>18/06/2018, 05:41:41</t>
  </si>
  <si>
    <t>https://www.instagram.com/paineirascorcovado</t>
  </si>
  <si>
    <t>https://instagram.fcgh5-2.fna.fbcdn.net/v/t51.2885-19/10731931_1012872838745872_889767173_a.jpg?stp=dst-jpg_s150x150_tt6&amp;efg=eyJ2ZW5jb2RlX3RhZyI6InByb2ZpbGVfcGljLmRqYW5nby45NjAuYzIifQ&amp;_nc_ht=instagram.fcgh5-2.fna.fbcdn.net&amp;_nc_cat=104&amp;_nc_oc=Q6cZ2gG7vZs6Na9q3ErY8wenjT1FrFpbHPqB-Uq2Jvdeen4ebcrx5rZ5nEJcqU8pmJM8jxh_fswHXGt7iEtMX0fC9y1B&amp;_nc_ohc=S98n27nM2v8Q7kNvwGblheF&amp;_nc_gid=Hzv7dMX6EedXsQtcZBfbqw&amp;edm=AI-cjbYBAAAA&amp;ccb=7-5&amp;oh=00_Af2ATlwfROU6kNYT5k_GozD3OspBUdw6C_Kv8mRo2XuxyA&amp;oe=69D8B81A&amp;_nc_sid=0985b0</t>
  </si>
  <si>
    <t>tomcoates22</t>
  </si>
  <si>
    <t>👏👏💥</t>
  </si>
  <si>
    <t>08/09/2016, 00:14:29</t>
  </si>
  <si>
    <t>https://www.instagram.com/tomcoates22</t>
  </si>
  <si>
    <t>https://instagram.fcgh5-2.fna.fbcdn.net/v/t51.2885-19/244239759_891555538157952_443218890766445895_n.jpg?stp=dst-jpg_s150x150_tt6&amp;efg=eyJ2ZW5jb2RlX3RhZyI6InByb2ZpbGVfcGljLmRqYW5nby45NTguYzIifQ&amp;_nc_ht=instagram.fcgh5-2.fna.fbcdn.net&amp;_nc_cat=100&amp;_nc_oc=Q6cZ2gHcXQ1iaDU1RgcNqQ-GCWYTk55oXcRdIbMG2LOqqnoTNa-z7iASeVNgAUZvHwJOWilOyJaqvU5ntBVXcZveuU3m&amp;_nc_ohc=gfW63aquHCsQ7kNvwGuzwCy&amp;_nc_gid=QzDpU49IKaIwy78NYEiLOw&amp;edm=AI-cjbYBAAAA&amp;ccb=7-5&amp;oh=00_Af3jdO2vkC1syElK0Ebhxi7WTXWKbyuYF6qE_w493ZURYw&amp;oe=69D918B9&amp;_nc_sid=0985b0</t>
  </si>
  <si>
    <t>lfcafeebistro</t>
  </si>
  <si>
    <t>☕</t>
  </si>
  <si>
    <t>08/09/2016, 00:27:12</t>
  </si>
  <si>
    <t>https://www.instagram.com/lfcafeebistro</t>
  </si>
  <si>
    <t>https://instagram.fcgh5-2.fna.fbcdn.net/v/t51.2885-19/432602080_1836729626810898_5550344552689605464_n.jpg?stp=dst-jpg_s150x150_tt6&amp;efg=eyJ2ZW5jb2RlX3RhZyI6InByb2ZpbGVfcGljLmRqYW5nby4xMDgwLmMyIn0&amp;_nc_ht=instagram.fcgh5-2.fna.fbcdn.net&amp;_nc_cat=106&amp;_nc_oc=Q6cZ2gHcXQ1iaDU1RgcNqQ-GCWYTk55oXcRdIbMG2LOqqnoTNa-z7iASeVNgAUZvHwJOWilOyJaqvU5ntBVXcZveuU3m&amp;_nc_ohc=d8q6azhC5VQQ7kNvwGUkNHX&amp;_nc_gid=QzDpU49IKaIwy78NYEiLOw&amp;edm=AI-cjbYBAAAA&amp;ccb=7-5&amp;oh=00_Af08w_iJ2lz1RlnNxa6Jx_MFDAg0fp3xP37l-oo0AGBSzQ&amp;oe=69D90A63&amp;_nc_sid=0985b0</t>
  </si>
  <si>
    <t>flormeloficial</t>
  </si>
  <si>
    <t>08/09/2016, 04:04:17</t>
  </si>
  <si>
    <t>https://www.instagram.com/flormeloficial</t>
  </si>
  <si>
    <t>https://instagram.fcgh5-1.fna.fbcdn.net/v/t51.2885-19/472402887_577700508490961_8145343455555547238_n.jpg?stp=dst-jpg_s150x150_tt6&amp;efg=eyJ2ZW5jb2RlX3RhZyI6InByb2ZpbGVfcGljLmRqYW5nby44MDUuYzIifQ&amp;_nc_ht=instagram.fcgh5-1.fna.fbcdn.net&amp;_nc_cat=105&amp;_nc_oc=Q6cZ2gHcXQ1iaDU1RgcNqQ-GCWYTk55oXcRdIbMG2LOqqnoTNa-z7iASeVNgAUZvHwJOWilOyJaqvU5ntBVXcZveuU3m&amp;_nc_ohc=g1jLRhyXhJcQ7kNvwFrBv1Y&amp;_nc_gid=QzDpU49IKaIwy78NYEiLOw&amp;edm=AI-cjbYBAAAA&amp;ccb=7-5&amp;oh=00_Af3cHUZBrOeLQyAADu2HTGdfsksTb89rzIZTgPWADJfdYQ&amp;oe=69D8FBC2&amp;_nc_sid=0985b0</t>
  </si>
  <si>
    <t>eyewearty</t>
  </si>
  <si>
    <t>🙏😎</t>
  </si>
  <si>
    <t>08/09/2016, 12:52:55</t>
  </si>
  <si>
    <t>https://www.instagram.com/eyewearty</t>
  </si>
  <si>
    <t>https://instagram.fcgh5-2.fna.fbcdn.net/v/t51.82787-19/552059632_18508751425064274_4803933909857256426_n.jpg?stp=dst-jpg_s150x150_tt6&amp;efg=eyJ2ZW5jb2RlX3RhZyI6InByb2ZpbGVfcGljLmRqYW5nby45NjAuYzIifQ&amp;_nc_ht=instagram.fcgh5-2.fna.fbcdn.net&amp;_nc_cat=106&amp;_nc_oc=Q6cZ2gHcXQ1iaDU1RgcNqQ-GCWYTk55oXcRdIbMG2LOqqnoTNa-z7iASeVNgAUZvHwJOWilOyJaqvU5ntBVXcZveuU3m&amp;_nc_ohc=tiW7UwveXCsQ7kNvwGfyPIq&amp;_nc_gid=QzDpU49IKaIwy78NYEiLOw&amp;edm=AI-cjbYBAAAA&amp;ccb=7-5&amp;oh=00_Af2AaXgrXP3QiKwtT22u07gm240uIwddS-vjwBjkiEVq2A&amp;oe=69D91946&amp;_nc_sid=0985b0</t>
  </si>
  <si>
    <t>trilogynews</t>
  </si>
  <si>
    <t>Nice pic!</t>
  </si>
  <si>
    <t>05/12/2016, 19:28:12</t>
  </si>
  <si>
    <t>https://www.instagram.com/trilogynews</t>
  </si>
  <si>
    <t>https://instagram.fcgh5-1.fna.fbcdn.net/v/t51.2885-19/14052148_1748384958749662_526188212_a.jpg?stp=dst-jpg_s150x150_tt6&amp;efg=eyJ2ZW5jb2RlX3RhZyI6InByb2ZpbGVfcGljLmRqYW5nby4xMDgwLmMyIn0&amp;_nc_ht=instagram.fcgh5-1.fna.fbcdn.net&amp;_nc_cat=110&amp;_nc_oc=Q6cZ2gHcXQ1iaDU1RgcNqQ-GCWYTk55oXcRdIbMG2LOqqnoTNa-z7iASeVNgAUZvHwJOWilOyJaqvU5ntBVXcZveuU3m&amp;_nc_ohc=vhRM9ietdJMQ7kNvwEU8oEp&amp;_nc_gid=QzDpU49IKaIwy78NYEiLOw&amp;edm=AI-cjbYBAAAA&amp;ccb=7-5&amp;oh=00_Af1LaqiWcB-Cm4ZhheNgG8SpIb4HX0YIUDrJvx4iIoTSwA&amp;oe=69D9179F&amp;_nc_sid=0985b0</t>
  </si>
  <si>
    <t>juliamarino__</t>
  </si>
  <si>
    <t>🙌🏼</t>
  </si>
  <si>
    <t>01/02/2017, 05:50:26</t>
  </si>
  <si>
    <t>https://www.instagram.com/juliamarino__</t>
  </si>
  <si>
    <t>https://instagram.fcgh5-1.fna.fbcdn.net/v/t51.2885-19/278007921_383830683400826_2312211520261512530_n.jpg?stp=dst-jpg_s150x150_tt6&amp;efg=eyJ2ZW5jb2RlX3RhZyI6InByb2ZpbGVfcGljLmRqYW5nby4xMDgwLmMyIn0&amp;_nc_ht=instagram.fcgh5-1.fna.fbcdn.net&amp;_nc_cat=102&amp;_nc_oc=Q6cZ2gHcXQ1iaDU1RgcNqQ-GCWYTk55oXcRdIbMG2LOqqnoTNa-z7iASeVNgAUZvHwJOWilOyJaqvU5ntBVXcZveuU3m&amp;_nc_ohc=WtvQZMjVv8MQ7kNvwG-CshX&amp;_nc_gid=QzDpU49IKaIwy78NYEiLOw&amp;edm=AI-cjbYBAAAA&amp;ccb=7-5&amp;oh=00_Af0jd-UU9KT1-u_4WqsRhTZFzFAgbt7Mnr6bDHeADkBBHg&amp;oe=69D91996&amp;_nc_sid=0985b0</t>
  </si>
  <si>
    <t>javerver</t>
  </si>
  <si>
    <t>Pretty cool</t>
  </si>
  <si>
    <t>08/09/2016, 12:49:08</t>
  </si>
  <si>
    <t>https://www.instagram.com/javerver</t>
  </si>
  <si>
    <t>https://instagram.fcgh5-2.fna.fbcdn.net/v/t51.82787-19/541292464_18522953335048249_3427773962473125417_n.jpg?stp=dst-jpg_s150x150_tt6&amp;efg=eyJ2ZW5jb2RlX3RhZyI6InByb2ZpbGVfcGljLmRqYW5nby45NzAuYzIifQ&amp;_nc_ht=instagram.fcgh5-2.fna.fbcdn.net&amp;_nc_cat=101&amp;_nc_oc=Q6cZ2gGlvCYSIHxf3EUaD_Gae6xYghgGtB9jPEijqZVqB3RvPDzBMALOXLnr9VMIflBUHDa1MX5d2mhKfYJrmZ7zBy-g&amp;_nc_ohc=J_SdW6qfeEsQ7kNvwGcLkkh&amp;_nc_gid=v_U1wsyVL9kbOq6-TNfrJg&amp;edm=AI-cjbYBAAAA&amp;ccb=7-5&amp;oh=00_Af0UviARzz5VOYP5d5OWFq5arQ5h4vvw9VqZV865w0Cu4A&amp;oe=69D8EDF4&amp;_nc_sid=0985b0</t>
  </si>
  <si>
    <t>meuembarqueimediato</t>
  </si>
  <si>
    <t>09/09/2016, 06:34:57</t>
  </si>
  <si>
    <t>https://www.instagram.com/meuembarqueimediato</t>
  </si>
  <si>
    <t>https://instagram.fcgh5-1.fna.fbcdn.net/v/t51.2885-19/366412596_1324233515163970_412867175410014895_n.jpg?stp=dst-jpg_s150x150_tt6&amp;efg=eyJ2ZW5jb2RlX3RhZyI6InByb2ZpbGVfcGljLmRqYW5nby43NjguYzIifQ&amp;_nc_ht=instagram.fcgh5-1.fna.fbcdn.net&amp;_nc_cat=110&amp;_nc_oc=Q6cZ2gGlvCYSIHxf3EUaD_Gae6xYghgGtB9jPEijqZVqB3RvPDzBMALOXLnr9VMIflBUHDa1MX5d2mhKfYJrmZ7zBy-g&amp;_nc_ohc=Egb2Af3UcSMQ7kNvwHDeuNk&amp;_nc_gid=v_U1wsyVL9kbOq6-TNfrJg&amp;edm=AI-cjbYBAAAA&amp;ccb=7-5&amp;oh=00_Af1kGUIMeG_KAebxTPbrTNV9ZDhgAlJWacE-zOzm4XdTBw&amp;oe=69D913E8&amp;_nc_sid=0985b0</t>
  </si>
  <si>
    <t>adrianopf1</t>
  </si>
  <si>
    <t>2x1 Brasil</t>
  </si>
  <si>
    <t>27/06/2018, 10:11:46</t>
  </si>
  <si>
    <t>https://www.instagram.com/adrianopf1</t>
  </si>
  <si>
    <t>https://instagram.fcgh5-1.fna.fbcdn.net/v/t51.2885-19/107291711_272388647320580_1629044051503568734_n.jpg?stp=dst-jpg_s150x150_tt6&amp;efg=eyJ2ZW5jb2RlX3RhZyI6InByb2ZpbGVfcGljLmRqYW5nby45NjEuYzIifQ&amp;_nc_ht=instagram.fcgh5-1.fna.fbcdn.net&amp;_nc_cat=108&amp;_nc_oc=Q6cZ2gHaJos6yQB1rzN-Lp24UYEcww-fkVoen4gBLZH-zTjI8DU2RP86mHRFrtI5Qrb7d0B8ceJU6zoXgH2Me85_K4kt&amp;_nc_ohc=FrND_OGgi5IQ7kNvwFf-lwG&amp;_nc_gid=8pF31fUjUEIGmntkEYMzVw&amp;edm=AI-cjbYBAAAA&amp;ccb=7-5&amp;oh=00_Af3iS7HiZka_60a0nea0I3WQnFuku2IsdzPC6wgAe3Tc7g&amp;oe=69D8CFDD&amp;_nc_sid=0985b0</t>
  </si>
  <si>
    <t>https://instagram.fcgh5-1.fna.fbcdn.net/v/t51.2885-19/107291711_272388647320580_1629044051503568734_n.jpg?stp=dst-jpg_s150x150_tt6&amp;efg=eyJ2ZW5jb2RlX3RhZyI6InByb2ZpbGVfcGljLmRqYW5nby45NjEuYzIifQ&amp;_nc_ht=instagram.fcgh5-1.fna.fbcdn.net&amp;_nc_cat=108&amp;_nc_oc=Q6cZ2gGiqXzhGH-qc2_ZuF-kHBYfe0Y0MGicx8JbP7LVev0cY4g40bsLB03UAXsuNNrnj4quuEM55PRuKR7q8Q0Mt9Dd&amp;_nc_ohc=FrND_OGgi5IQ7kNvwFf-lwG&amp;_nc_gid=P3XC7mazsGbOmBGbe8KrOQ&amp;edm=AI-cjbYBAAAA&amp;ccb=7-5&amp;oh=00_Af1SlkbCMfE3AuSa2WR5fgURdnDAzrdoH6bSejPLhngTFw&amp;oe=69D8CFDD&amp;_nc_sid=0985b0</t>
  </si>
  <si>
    <t>wearesavvy_agency</t>
  </si>
  <si>
    <t>Too nice</t>
  </si>
  <si>
    <t>19/09/2016, 11:07:10</t>
  </si>
  <si>
    <t>https://www.instagram.com/wearesavvy_agency</t>
  </si>
  <si>
    <t>https://instagram.fcgh5-1.fna.fbcdn.net/v/t51.82787-19/631822176_18401527906131749_7991859979022518961_n.jpg?stp=dst-jpg_s150x150_tt6&amp;efg=eyJ2ZW5jb2RlX3RhZyI6InByb2ZpbGVfcGljLmRqYW5nby4xMDgwLmMyIn0&amp;_nc_ht=instagram.fcgh5-1.fna.fbcdn.net&amp;_nc_cat=105&amp;_nc_oc=Q6cZ2gGE5WVfhXSqsMgzust-VgaGHNj0dHbSUBqPver6BJfgyyNfznX9Ifw1YRNRk1YEAFQR8BGzdw-jcq_5Xp3GzWhZ&amp;_nc_ohc=UXmIAhE3NsgQ7kNvwFUeDIs&amp;_nc_gid=Mgq2ydVrGxaUytswVthS2g&amp;edm=AI-cjbYBAAAA&amp;ccb=7-5&amp;oh=00_Af3RtRqxmi-LG95N921wWnil-eLmFJqLGhku6fBZswaaMg&amp;oe=69D90AEB&amp;_nc_sid=0985b0</t>
  </si>
  <si>
    <t>charles50mm</t>
  </si>
  <si>
    <t>😊😊👏👏👏...</t>
  </si>
  <si>
    <t>13/09/2016, 14:59:56</t>
  </si>
  <si>
    <t>https://www.instagram.com/charles50mm</t>
  </si>
  <si>
    <t>https://instagram.fcgh5-2.fna.fbcdn.net/v/t51.82787-19/543618879_18518754196028520_3843036821128061032_n.jpg?stp=dst-jpg_s150x150_tt6&amp;efg=eyJ2ZW5jb2RlX3RhZyI6InByb2ZpbGVfcGljLmRqYW5nby4xMDgwLmMyIn0&amp;_nc_ht=instagram.fcgh5-2.fna.fbcdn.net&amp;_nc_cat=100&amp;_nc_oc=Q6cZ2gFA3k25aUzaAGc1B9cqIov_6n95j7MpYvtHiuV-NQmnvrQENFt5VLUV25GadYu-np-Qb69PM1PRDCOlZ0KEW33X&amp;_nc_ohc=xRBXouHbJ5IQ7kNvwGv9RO_&amp;_nc_gid=-6Ay_214qzlcBncIIF4YFA&amp;edm=AI-cjbYBAAAA&amp;ccb=7-5&amp;oh=00_Af3iyhAMB7wHlvwMxteheeMtAiiVpZAw7a2vUJZWKX_dXw&amp;oe=69D8ED00&amp;_nc_sid=0985b0</t>
  </si>
  <si>
    <t>travelquintessence</t>
  </si>
  <si>
    <t>🌍 Great Photo! 👏</t>
  </si>
  <si>
    <t>10/09/2016, 01:51:03</t>
  </si>
  <si>
    <t>https://www.instagram.com/travelquintessence</t>
  </si>
  <si>
    <t>https://instagram.fcgh5-2.fna.fbcdn.net/v/t51.2885-19/274040293_4539044582867137_7179427739338882378_n.jpg?stp=dst-jpg_s150x150_tt6&amp;efg=eyJ2ZW5jb2RlX3RhZyI6InByb2ZpbGVfcGljLmRqYW5nby4xMDgwLmMyIn0&amp;_nc_ht=instagram.fcgh5-2.fna.fbcdn.net&amp;_nc_cat=101&amp;_nc_oc=Q6cZ2gGwVBnvA4pVhygc_AMea3bib6SSKAiJTw5TtLMJGSM2GoTl4qSgtSA9MWv2VKy4Ynxn8MQLqmeQNqiXHesDMGuM&amp;_nc_ohc=yobv3bESEkAQ7kNvwFS_rRy&amp;_nc_gid=ha63PaaMbAlnhCy-sPGy-Q&amp;edm=AI-cjbYBAAAA&amp;ccb=7-5&amp;oh=00_Af1nS9lwOtBYLdqvWOj_KQOBr6K0FF-hgvd4MbdtK0PNdA&amp;oe=69D91357&amp;_nc_sid=0985b0</t>
  </si>
  <si>
    <t>timmartellmusic</t>
  </si>
  <si>
    <t>Nice!</t>
  </si>
  <si>
    <t>21/09/2016, 07:53:58</t>
  </si>
  <si>
    <t>https://www.instagram.com/timmartellmusic</t>
  </si>
  <si>
    <t>https://instagram.fcgh5-1.fna.fbcdn.net/v/t51.2885-19/274794758_703382697491457_6032965676685029698_n.jpg?stp=dst-jpg_s150x150_tt6&amp;efg=eyJ2ZW5jb2RlX3RhZyI6InByb2ZpbGVfcGljLmRqYW5nby43MjkuYzIifQ&amp;_nc_ht=instagram.fcgh5-1.fna.fbcdn.net&amp;_nc_cat=109&amp;_nc_oc=Q6cZ2gEw-X7FUU4WT6OfBmjwCcymOpr4An9g0ymvPdgdKGSRBTgMU7VguS9h4qEmjLId4z9gh5SbpSlp48sRzF_e6yRy&amp;_nc_ohc=VSBv65uXyUMQ7kNvwFy4TJt&amp;_nc_gid=iErDq9-5rY9FkuQyBLU6Zw&amp;edm=AI-cjbYBAAAA&amp;ccb=7-5&amp;oh=00_Af1atovb8vEjTUIydC-8gSskIefotwKNjxwMHlu0lwv1vA&amp;oe=69D8ECB4&amp;_nc_sid=0985b0</t>
  </si>
  <si>
    <t>a.thousand.words.for.god</t>
  </si>
  <si>
    <t>Always looking for new places to visit and experience 😊</t>
  </si>
  <si>
    <t>20/09/2016, 20:52:56</t>
  </si>
  <si>
    <t>https://www.instagram.com/a.thousand.words.for.god</t>
  </si>
  <si>
    <t>https://instagram.fcgh5-2.fna.fbcdn.net/v/t51.2885-19/460707463_1116877823162659_146770017669447790_n.jpg?stp=dst-jpg_s150x150_tt6&amp;efg=eyJ2ZW5jb2RlX3RhZyI6InByb2ZpbGVfcGljLmRqYW5nby4xMDgwLmMyIn0&amp;_nc_ht=instagram.fcgh5-2.fna.fbcdn.net&amp;_nc_cat=107&amp;_nc_oc=Q6cZ2gFD7ZpV-E8tEV56i-zku6SMn2u5WsY1_rDsbyd0AoYFIDRE-ChIVkT2SmOB_COS0k_YAX-igHa5_WQSkbluiB3Y&amp;_nc_ohc=ZgtGfdn8ue4Q7kNvwE4FUsQ&amp;_nc_gid=CyOrhTShTrVMo7Ww6dtEEA&amp;edm=AI-cjbYBAAAA&amp;ccb=7-5&amp;oh=00_Af2LB_-PqVQqm4OKi8AqfkNza2qGLyuoNZ4xEltrx8AjWg&amp;oe=69D917EF&amp;_nc_sid=0985b0</t>
  </si>
  <si>
    <t>dizlu</t>
  </si>
  <si>
    <t>😊</t>
  </si>
  <si>
    <t>24/09/2016, 06:02:02</t>
  </si>
  <si>
    <t>https://www.instagram.com/dizlu</t>
  </si>
  <si>
    <t>https://instagram.fcgh5-2.fna.fbcdn.net/v/t51.2885-19/65300452_703576010087641_7564343895463559168_n.jpg?stp=dst-jpg_s150x150_tt6&amp;efg=eyJ2ZW5jb2RlX3RhZyI6InByb2ZpbGVfcGljLmRqYW5nby41MTIuYzIifQ&amp;_nc_ht=instagram.fcgh5-2.fna.fbcdn.net&amp;_nc_cat=101&amp;_nc_oc=Q6cZ2gFD7ZpV-E8tEV56i-zku6SMn2u5WsY1_rDsbyd0AoYFIDRE-ChIVkT2SmOB_COS0k_YAX-igHa5_WQSkbluiB3Y&amp;_nc_ohc=eXOCi6fHog0Q7kNvwEprTfp&amp;_nc_gid=CyOrhTShTrVMo7Ww6dtEEA&amp;edm=AI-cjbYBAAAA&amp;ccb=7-5&amp;oh=00_Af05hmHmgzxktzZcN9JRbNDJZw9oDyUjuDHuu58bG1c_DQ&amp;oe=69D8FA6F&amp;_nc_sid=0985b0</t>
  </si>
  <si>
    <t>beatnikatelier</t>
  </si>
  <si>
    <t>Linda foto! 😊 ...</t>
  </si>
  <si>
    <t>10/09/2016, 13:16:21</t>
  </si>
  <si>
    <t>https://www.instagram.com/beatnikatelier</t>
  </si>
  <si>
    <t>https://instagram.fcgh5-2.fna.fbcdn.net/v/t51.2885-19/458444143_1016182106970474_3776888904310208856_n.jpg?stp=dst-jpg_s150x150_tt6&amp;efg=eyJ2ZW5jb2RlX3RhZyI6InByb2ZpbGVfcGljLmRqYW5nby4xMDgwLmMyIn0&amp;_nc_ht=instagram.fcgh5-2.fna.fbcdn.net&amp;_nc_cat=106&amp;_nc_oc=Q6cZ2gFxA0iTQiPnd1d_n9LgpU7W4n1S8MPx7d_lqLpxqISvdrN1Pr2cnzh9x3Y7BOQ4b3B-T9cexMNOCNBSOipk-E0t&amp;_nc_ohc=Bb0AjY2vWp8Q7kNvwH33vle&amp;_nc_gid=V4IwMFTmiJuG8f-vLaYWww&amp;edm=AI-cjbYBAAAA&amp;ccb=7-5&amp;oh=00_Af2jeIrEq1lVdRskF_EO81yzRZyRCx8E9fkMTywmqWaF_g&amp;oe=69D8EC1C&amp;_nc_sid=0985b0</t>
  </si>
  <si>
    <t>travel_with_david</t>
  </si>
  <si>
    <t>Cuantas cosas en común tenemos 😉 He estado en el mismo sitio hace unos días. Disfrutar!</t>
  </si>
  <si>
    <t>11/09/2016, 03:33:39</t>
  </si>
  <si>
    <t>https://www.instagram.com/travel_with_david</t>
  </si>
  <si>
    <t>https://instagram.fcgh5-2.fna.fbcdn.net/v/t51.2885-19/469898157_1122923985342027_9202914096364664914_n.jpg?stp=dst-jpg_s150x150_tt6&amp;efg=eyJ2ZW5jb2RlX3RhZyI6InByb2ZpbGVfcGljLmRqYW5nby4xMDgwLmMyIn0&amp;_nc_ht=instagram.fcgh5-2.fna.fbcdn.net&amp;_nc_cat=103&amp;_nc_oc=Q6cZ2gFxA0iTQiPnd1d_n9LgpU7W4n1S8MPx7d_lqLpxqISvdrN1Pr2cnzh9x3Y7BOQ4b3B-T9cexMNOCNBSOipk-E0t&amp;_nc_ohc=lRuQE_Me_bcQ7kNvwF6e0F8&amp;_nc_gid=V4IwMFTmiJuG8f-vLaYWww&amp;edm=AI-cjbYBAAAA&amp;ccb=7-5&amp;oh=00_Af26QWsqdVabZAs1nXjpbjGZ6AKQZWg3EwF9JdYJgRG3kA&amp;oe=69D8FEDA&amp;_nc_sid=0985b0</t>
  </si>
  <si>
    <t>tranquila_mente</t>
  </si>
  <si>
    <t>😃👏</t>
  </si>
  <si>
    <t>15/09/2016, 01:12:29</t>
  </si>
  <si>
    <t>https://www.instagram.com/tranquila_mente</t>
  </si>
  <si>
    <t>https://instagram.fcgh5-1.fna.fbcdn.net/v/t51.2885-19/89455682_201345624446290_4615835064209506304_n.jpg?stp=dst-jpg_s150x150_tt6&amp;efg=eyJ2ZW5jb2RlX3RhZyI6InByb2ZpbGVfcGljLmRqYW5nby4zNzAuYzIifQ&amp;_nc_ht=instagram.fcgh5-1.fna.fbcdn.net&amp;_nc_cat=110&amp;_nc_oc=Q6cZ2gFxA0iTQiPnd1d_n9LgpU7W4n1S8MPx7d_lqLpxqISvdrN1Pr2cnzh9x3Y7BOQ4b3B-T9cexMNOCNBSOipk-E0t&amp;_nc_ohc=hwLV_0dUlCUQ7kNvwHYiuY0&amp;_nc_gid=V4IwMFTmiJuG8f-vLaYWww&amp;edm=AI-cjbYBAAAA&amp;ccb=7-5&amp;oh=00_Af0DxnPDmhcsY-6JqKHV4oVMlYWUARdB828Iy7Ejh8cLJA&amp;oe=69D91723&amp;_nc_sid=0985b0</t>
  </si>
  <si>
    <t>https://instagram.fcgh5-2.fna.fbcdn.net/v/t51.2885-19/458444143_1016182106970474_3776888904310208856_n.jpg?stp=dst-jpg_s150x150_tt6&amp;efg=eyJ2ZW5jb2RlX3RhZyI6InByb2ZpbGVfcGljLmRqYW5nby4xMDgwLmMyIn0&amp;_nc_ht=instagram.fcgh5-2.fna.fbcdn.net&amp;_nc_cat=106&amp;_nc_oc=Q6cZ2gEV8Y-x3OFmJPdZ3qdf4blO7xwhqlL-PqaX4lTTICCRXK12WBmhZyX-_Oiy90CcqPxviLCmecjLXuqmVouXUY9d&amp;_nc_ohc=Bb0AjY2vWp8Q7kNvwH33vle&amp;_nc_gid=4REAx7u6cJLEVvTAhTzCJw&amp;edm=AI-cjbYBAAAA&amp;ccb=7-5&amp;oh=00_Af1Bd--GmRoKsA4UN9XsdL-QAoUhxE2nPg7fWgCAxm5liw&amp;oe=69D8EC1C&amp;_nc_sid=0985b0</t>
  </si>
  <si>
    <t>https://instagram.fcgh5-2.fna.fbcdn.net/v/t51.2885-19/469898157_1122923985342027_9202914096364664914_n.jpg?stp=dst-jpg_s150x150_tt6&amp;efg=eyJ2ZW5jb2RlX3RhZyI6InByb2ZpbGVfcGljLmRqYW5nby4xMDgwLmMyIn0&amp;_nc_ht=instagram.fcgh5-2.fna.fbcdn.net&amp;_nc_cat=103&amp;_nc_oc=Q6cZ2gEV8Y-x3OFmJPdZ3qdf4blO7xwhqlL-PqaX4lTTICCRXK12WBmhZyX-_Oiy90CcqPxviLCmecjLXuqmVouXUY9d&amp;_nc_ohc=lRuQE_Me_bcQ7kNvwF6e0F8&amp;_nc_gid=4REAx7u6cJLEVvTAhTzCJw&amp;edm=AI-cjbYBAAAA&amp;ccb=7-5&amp;oh=00_Af3J2GQrMsg3ygGY5mnj5KvbLuUtJbtTxc7wDVnbnHJIuQ&amp;oe=69D8FEDA&amp;_nc_sid=0985b0</t>
  </si>
  <si>
    <t>https://instagram.fcgh5-1.fna.fbcdn.net/v/t51.2885-19/89455682_201345624446290_4615835064209506304_n.jpg?stp=dst-jpg_s150x150_tt6&amp;efg=eyJ2ZW5jb2RlX3RhZyI6InByb2ZpbGVfcGljLmRqYW5nby4zNzAuYzIifQ&amp;_nc_ht=instagram.fcgh5-1.fna.fbcdn.net&amp;_nc_cat=110&amp;_nc_oc=Q6cZ2gEV8Y-x3OFmJPdZ3qdf4blO7xwhqlL-PqaX4lTTICCRXK12WBmhZyX-_Oiy90CcqPxviLCmecjLXuqmVouXUY9d&amp;_nc_ohc=hwLV_0dUlCUQ7kNvwHYiuY0&amp;_nc_gid=4REAx7u6cJLEVvTAhTzCJw&amp;edm=AI-cjbYBAAAA&amp;ccb=7-5&amp;oh=00_Af207NxWV2bLYVtVOIDcOS0hShgE7guglxs21wLJvjfaIg&amp;oe=69D91723&amp;_nc_sid=0985b0</t>
  </si>
  <si>
    <t>campinas_1980</t>
  </si>
  <si>
    <t>11/09/2016, 12:21:52</t>
  </si>
  <si>
    <t>https://www.instagram.com/campinas_1980</t>
  </si>
  <si>
    <t>https://instagram.fcgh5-2.fna.fbcdn.net/v/t51.2885-19/21980454_117999048889105_806325928811560960_n.jpg?stp=dst-jpg_s150x150_tt6&amp;efg=eyJ2ZW5jb2RlX3RhZyI6InByb2ZpbGVfcGljLmRqYW5nby44NDUuYzIifQ&amp;_nc_ht=instagram.fcgh5-2.fna.fbcdn.net&amp;_nc_cat=101&amp;_nc_oc=Q6cZ2gEubYT99MW5wKh8DojrPEugOKSqrTGMNcnDnFYSx7Q5ZFoR1E_tPLp67uIYXbyUN9Af4us-EnJo0nJnxGEfrYB3&amp;_nc_ohc=f55jIqUr1e4Q7kNvwF4TOIL&amp;_nc_gid=gWjt74UW96Nulcy63Vf-ug&amp;edm=AI-cjbYBAAAA&amp;ccb=7-5&amp;oh=00_Af1j9tS8DgU-tTdvynEzFqKobmje1HyL6rbK4oIbWI-5bg&amp;oe=69D8F529&amp;_nc_sid=0985b0</t>
  </si>
  <si>
    <t>traveltakeovers</t>
  </si>
  <si>
    <t>Nice! :)</t>
  </si>
  <si>
    <t>12/09/2016, 18:51:52</t>
  </si>
  <si>
    <t>https://www.instagram.com/traveltakeovers</t>
  </si>
  <si>
    <t>https://instagram.fcgh5-2.fna.fbcdn.net/v/t51.2885-19/20902193_112677676102050_5674651799546494976_a.jpg?stp=dst-jpg_s150x150_tt6&amp;efg=eyJ2ZW5jb2RlX3RhZyI6InByb2ZpbGVfcGljLmRqYW5nby4xMDgwLmMyIn0&amp;_nc_ht=instagram.fcgh5-2.fna.fbcdn.net&amp;_nc_cat=106&amp;_nc_oc=Q6cZ2gEubYT99MW5wKh8DojrPEugOKSqrTGMNcnDnFYSx7Q5ZFoR1E_tPLp67uIYXbyUN9Af4us-EnJo0nJnxGEfrYB3&amp;_nc_ohc=jSdMzHCWC2cQ7kNvwH-C-4M&amp;_nc_gid=gWjt74UW96Nulcy63Vf-ug&amp;edm=AI-cjbYBAAAA&amp;ccb=7-5&amp;oh=00_Af2baF7cnw6QUHzGVw-1I4Kbvv6ZIbTY-PwfcdKJ8fZDGA&amp;oe=69D8EFFC&amp;_nc_sid=0985b0</t>
  </si>
  <si>
    <t>vera_pnl</t>
  </si>
  <si>
    <t>The pic is really lovely!!</t>
  </si>
  <si>
    <t>20/06/2018, 16:12:10</t>
  </si>
  <si>
    <t>https://www.instagram.com/vera_pnl</t>
  </si>
  <si>
    <t>https://instagram.fcgh5-2.fna.fbcdn.net/v/t51.2885-19/312936410_858523602166995_3746690309660427839_n.jpg?stp=dst-jpg_s150x150_tt6&amp;efg=eyJ2ZW5jb2RlX3RhZyI6InByb2ZpbGVfcGljLmRqYW5nby4xMDgwLmMyIn0&amp;_nc_ht=instagram.fcgh5-2.fna.fbcdn.net&amp;_nc_cat=103&amp;_nc_oc=Q6cZ2gHdHDnnWRET-dqX_QzuD5UU4lzFFEZLU_9UVHKUFHVSDd3Lggi75mhfMQipDjlGoMdFMEktvv56H6I-PeNiYPRf&amp;_nc_ohc=f4Pbe_hjHssQ7kNvwFXMkfX&amp;_nc_gid=wrKwNPrrls7xTm1K4wRqpQ&amp;edm=AI-cjbYBAAAA&amp;ccb=7-5&amp;oh=00_Af0vP1WeHlNXKidj6sAy8_sp0XCNul2t3wxTSFtaMTGCYg&amp;oe=69D8C598&amp;_nc_sid=0985b0</t>
  </si>
  <si>
    <t>goodbyfaith</t>
  </si>
  <si>
    <t>Great content!</t>
  </si>
  <si>
    <t>23/09/2016, 06:10:27</t>
  </si>
  <si>
    <t>https://www.instagram.com/goodbyfaith</t>
  </si>
  <si>
    <t>https://instagram.fcgh5-1.fna.fbcdn.net/v/t51.82787-19/609982327_18464874730114677_4521816174439806574_n.jpg?stp=dst-jpg_s150x150_tt6&amp;efg=eyJ2ZW5jb2RlX3RhZyI6InByb2ZpbGVfcGljLmRqYW5nby4xMDgwLmMyIn0&amp;_nc_ht=instagram.fcgh5-1.fna.fbcdn.net&amp;_nc_cat=109&amp;_nc_oc=Q6cZ2gHhBunVMkXxIuoytK7SaM_VEWPUUA6MOdvqD_yA_R7KZmqdOmaFZ4Ta6iYnzFCc6X_cSUJaPkgrb_bcTCXgZ8BX&amp;_nc_ohc=VGOM4y_jHOAQ7kNvwFezHk7&amp;_nc_gid=PttDxY7Wqn9QL2_innrsnQ&amp;edm=AI-cjbYBAAAA&amp;ccb=7-5&amp;oh=00_Af3tjJs6JskVxWHXi9yQhfzDUI7nofqXgLym6A52TfwHjw&amp;oe=69D91563&amp;_nc_sid=0985b0</t>
  </si>
  <si>
    <t>thataintright._</t>
  </si>
  <si>
    <t>Great</t>
  </si>
  <si>
    <t>14/09/2016, 03:21:01</t>
  </si>
  <si>
    <t>https://www.instagram.com/thataintright._</t>
  </si>
  <si>
    <t>https://instagram.fcgh5-2.fna.fbcdn.net/v/t51.2885-19/14487241_1828913807395915_8083558763845386240_a.jpg?stp=dst-jpg_s150x150_tt6&amp;efg=eyJ2ZW5jb2RlX3RhZyI6InByb2ZpbGVfcGljLmRqYW5nby4xMDgwLmMyIn0&amp;_nc_ht=instagram.fcgh5-2.fna.fbcdn.net&amp;_nc_cat=107&amp;_nc_oc=Q6cZ2gE_XviKlHboYo_P1AqL_H6nd3w3QgcRzKJ97k8D-KHUoLblB7Ql4afmtwewYVpHq20gl80lcGXmTKKTi-ZoWkVb&amp;_nc_ohc=j8iUjuLay34Q7kNvwG0_BEc&amp;_nc_gid=9rDDZ_57SLbCGG07M2KIsw&amp;edm=AI-cjbYBAAAA&amp;ccb=7-5&amp;oh=00_Af3fEEjYMbS7E1pCjcV4a8qUkPIkOrjFUifxaSG4tw4clQ&amp;oe=69D90B9A&amp;_nc_sid=0985b0</t>
  </si>
  <si>
    <t>juliao_gomes_filho</t>
  </si>
  <si>
    <t>Quem deu o título? Parabéns Latam.</t>
  </si>
  <si>
    <t>03/07/2018, 23:08:36</t>
  </si>
  <si>
    <t>https://www.instagram.com/juliao_gomes_filho</t>
  </si>
  <si>
    <t>https://instagram.fcgh5-1.fna.fbcdn.net/v/t51.2885-19/490460412_1619832128723049_4654281222922798219_n.jpg?stp=dst-jpg_s150x150_tt6&amp;efg=eyJ2ZW5jb2RlX3RhZyI6InByb2ZpbGVfcGljLmRqYW5nby4xMDgwLmMyIn0&amp;_nc_ht=instagram.fcgh5-1.fna.fbcdn.net&amp;_nc_cat=109&amp;_nc_oc=Q6cZ2gFujUcJDl-pM7JY06cjhW29ubuMxxa8e0_Y8lQgSrFhFPCMGwn_h7ny5h3hBq3ZUmNKSqRatIdRENsfAgCdQpbk&amp;_nc_ohc=CKCInbZHQXUQ7kNvwFG7XhS&amp;_nc_gid=0-lDP8E8FRFAHS9960SI1g&amp;edm=AI-cjbYBAAAA&amp;ccb=7-5&amp;oh=00_Af2yZn8hD_Eo8LKxy8un1oCkV7FMhz-vWm0a7MXQ0X60OQ&amp;oe=69D8AAB1&amp;_nc_sid=0985b0</t>
  </si>
  <si>
    <t>https://instagram.fcgh5-1.fna.fbcdn.net/v/t51.2885-19/490460412_1619832128723049_4654281222922798219_n.jpg?stp=dst-jpg_s150x150_tt6&amp;efg=eyJ2ZW5jb2RlX3RhZyI6InByb2ZpbGVfcGljLmRqYW5nby4xMDgwLmMyIn0&amp;_nc_ht=instagram.fcgh5-1.fna.fbcdn.net&amp;_nc_cat=109&amp;_nc_oc=Q6cZ2gHxTMjViNp9NyQDXpgXadWephXyHBEtAml9eCNkOgZMoD_LUCqL_fXv7mHQSbWBvz6MgBZwtUGgQQsYTkG20vCa&amp;_nc_ohc=CKCInbZHQXUQ7kNvwFG7XhS&amp;_nc_gid=fmO4S_b92hcGFCkyk7SREA&amp;edm=AI-cjbYBAAAA&amp;ccb=7-5&amp;oh=00_Af0WH1SewRMY4bvriPN9lNv5A3QV5WvjxayixFAt8hRGcA&amp;oe=69D8AAB1&amp;_nc_sid=0985b0</t>
  </si>
  <si>
    <t>Sem comemorações por enquanto!</t>
  </si>
  <si>
    <t>24/06/2018, 10:26:02</t>
  </si>
  <si>
    <t>https://instagram.fcgh5-1.fna.fbcdn.net/v/t51.2885-19/490460412_1619832128723049_4654281222922798219_n.jpg?stp=dst-jpg_s150x150_tt6&amp;efg=eyJ2ZW5jb2RlX3RhZyI6InByb2ZpbGVfcGljLmRqYW5nby4xMDgwLmMyIn0&amp;_nc_ht=instagram.fcgh5-1.fna.fbcdn.net&amp;_nc_cat=109&amp;_nc_oc=Q6cZ2gEZfZSIkQ7cmb6UNl4MA7fFSTfZEFwcenhHNoB680wVqGJWxve14BllQqL-ALmKEv9ED1Juyf7bRVRQ9gK_9l7i&amp;_nc_ohc=CKCInbZHQXUQ7kNvwFG7XhS&amp;_nc_gid=wXkdQhXffGl_iKCH5ef4mQ&amp;edm=AI-cjbYBAAAA&amp;ccb=7-5&amp;oh=00_Af0p1AAJQk8Gm99GEr87VpBii3itKq4ioC61QtDyb6j8Qw&amp;oe=69D8AAB1&amp;_nc_sid=0985b0</t>
  </si>
  <si>
    <t>joecontini</t>
  </si>
  <si>
    <t>19/09/2016, 17:19:43</t>
  </si>
  <si>
    <t>https://www.instagram.com/joecontini</t>
  </si>
  <si>
    <t>https://instagram.fcgh5-1.fna.fbcdn.net/v/t51.2885-19/93836527_227288438597072_3820333024214515712_n.jpg?stp=dst-jpg_s150x150_tt6&amp;efg=eyJ2ZW5jb2RlX3RhZyI6InByb2ZpbGVfcGljLmRqYW5nby43ODguYzIifQ&amp;_nc_ht=instagram.fcgh5-1.fna.fbcdn.net&amp;_nc_cat=108&amp;_nc_oc=Q6cZ2gG3oas6aJyfYd5W3SIhufo15j6tHdtTdacrTjx_py36BulljspYL_IbPImwyH2o0ZriVLuch9nvypcBNjLT3V-A&amp;_nc_ohc=YI66Sr03OQUQ7kNvwFSuysn&amp;_nc_gid=ubdZxc63h0R7lUYwWe89Ig&amp;edm=AI-cjbYBAAAA&amp;ccb=7-5&amp;oh=00_Af0rmg2e3D-lmUBUVrxIi3OXWAzb2PZSMGgCmOSxb4-a0Q&amp;oe=69D8EF41&amp;_nc_sid=0985b0</t>
  </si>
  <si>
    <t>glamour_ws</t>
  </si>
  <si>
    <t>👉#instagood....</t>
  </si>
  <si>
    <t>05/10/2016, 14:23:39</t>
  </si>
  <si>
    <t>https://www.instagram.com/glamour_ws</t>
  </si>
  <si>
    <t>https://instagram.fcgh5-1.fna.fbcdn.net/v/t51.2885-19/499939884_18457709629074755_7519273377474581931_n.jpg?stp=dst-jpg_s150x150_tt6&amp;efg=eyJ2ZW5jb2RlX3RhZyI6InByb2ZpbGVfcGljLmRqYW5nby41NTYuYzIifQ&amp;_nc_ht=instagram.fcgh5-1.fna.fbcdn.net&amp;_nc_cat=111&amp;_nc_oc=Q6cZ2gFCkT0jmajap_oASn5e-OJVY4yoRErQR1yDbOyVTUtPvnZQRMSmS7ztpXAqtiRIlnXPpoHRw-aFIuRVBgwKbWVR&amp;_nc_ohc=WS97zzOJ0TIQ7kNvwHNd5MG&amp;_nc_gid=w-eq9gggd4DCu2GJRfntTA&amp;edm=AI-cjbYBAAAA&amp;ccb=7-5&amp;oh=00_Af0F4NO1whIJygb8IfaGJGsYe67ZIwXaxEC7b5Qi4-Ul0A&amp;oe=69D90BAA&amp;_nc_sid=0985b0</t>
  </si>
  <si>
    <t>livia.soaress_</t>
  </si>
  <si>
    <t>Gente já abaixei no meu celular e no meu tablete,abaixe você também!!!!!</t>
  </si>
  <si>
    <t>30/09/2016, 17:56:40</t>
  </si>
  <si>
    <t>https://www.instagram.com/livia.soaress_</t>
  </si>
  <si>
    <t>https://instagram.fcgh5-2.fna.fbcdn.net/v/t51.82787-19/608927279_18399969892133785_7914603115011101363_n.jpg?stp=dst-jpg_s150x150_tt6&amp;efg=eyJ2ZW5jb2RlX3RhZyI6InByb2ZpbGVfcGljLmRqYW5nby4xMDgwLmMyIn0&amp;_nc_ht=instagram.fcgh5-2.fna.fbcdn.net&amp;_nc_cat=101&amp;_nc_oc=Q6cZ2gGEySeVrQqN-eQUB6Pxz9dcecIh5kb_2kU1U_R0ZLo0H1jGD67-Zr-X126tTnTC_ri96IDw20kxT8B2ytByutVf&amp;_nc_ohc=Bxdf7w-D0PMQ7kNvwEVLKmA&amp;_nc_gid=JTyZegUQDHQ_SP4RYjx8Hg&amp;edm=AI-cjbYBAAAA&amp;ccb=7-5&amp;oh=00_Af3qXWw9USKUCgOsVcWQyAYsyBe6e9lzEH4kZQze2e3Y7w&amp;oe=69D90282&amp;_nc_sid=0985b0</t>
  </si>
  <si>
    <t>exploreminas</t>
  </si>
  <si>
    <t>👏👏👏</t>
  </si>
  <si>
    <t>30/09/2016, 18:47:08</t>
  </si>
  <si>
    <t>https://www.instagram.com/exploreminas</t>
  </si>
  <si>
    <t>https://instagram.fcgh5-1.fna.fbcdn.net/v/t51.2885-19/464173014_529493229795597_2349650387147215809_n.jpg?stp=dst-jpg_s150x150_tt6&amp;efg=eyJ2ZW5jb2RlX3RhZyI6InByb2ZpbGVfcGljLmRqYW5nby4xMDgwLmMyIn0&amp;_nc_ht=instagram.fcgh5-1.fna.fbcdn.net&amp;_nc_cat=109&amp;_nc_oc=Q6cZ2gGEySeVrQqN-eQUB6Pxz9dcecIh5kb_2kU1U_R0ZLo0H1jGD67-Zr-X126tTnTC_ri96IDw20kxT8B2ytByutVf&amp;_nc_ohc=wN_hfbK5zCQQ7kNvwE13v6R&amp;_nc_gid=JTyZegUQDHQ_SP4RYjx8Hg&amp;edm=AI-cjbYBAAAA&amp;ccb=7-5&amp;oh=00_Af0v_nR4GabmWdz1Zx8MqkI7bPbJymemkYsARvd4u1MMKg&amp;oe=69D90CBA&amp;_nc_sid=0985b0</t>
  </si>
  <si>
    <t>Love this</t>
  </si>
  <si>
    <t>23/10/2016, 17:44:26</t>
  </si>
  <si>
    <t>https://instagram.fcgh5-1.fna.fbcdn.net/v/t51.2885-19/435093119_970969513881722_2442480367051977825_n.jpg?stp=dst-jpg_s150x150_tt6&amp;efg=eyJ2ZW5jb2RlX3RhZyI6InByb2ZpbGVfcGljLmRqYW5nby4xMDgwLmMyIn0&amp;_nc_ht=instagram.fcgh5-1.fna.fbcdn.net&amp;_nc_cat=102&amp;_nc_oc=Q6cZ2gGtGNlorG_i_DrxTzPMyZpk1gsMQ3aXyEcTfbG8IJp3tCsZSHtuyu-bwGudwAL8bxPbmNSnw8Pti1ql8SP1Nmdy&amp;_nc_ohc=yMv6aZiGfqQQ7kNvwFdH27X&amp;_nc_gid=yZAGjAnYqzqi4zHAj-x8UQ&amp;edm=AI-cjbYBAAAA&amp;ccb=7-5&amp;oh=00_Af1ut2UNS-tkPc-UY9NDZ9VSvBy-0PS_w5SUJZjp6Tc6_w&amp;oe=69D8FE7A&amp;_nc_sid=0985b0</t>
  </si>
  <si>
    <t>cruisemanau</t>
  </si>
  <si>
    <t>Flawless</t>
  </si>
  <si>
    <t>24/10/2016, 10:45:51</t>
  </si>
  <si>
    <t>https://www.instagram.com/cruisemanau</t>
  </si>
  <si>
    <t>https://instagram.fcgh5-1.fna.fbcdn.net/v/t51.2885-19/51786089_2558855444128712_6004907764969635840_n.jpg?stp=dst-jpg_s150x150_tt6&amp;efg=eyJ2ZW5jb2RlX3RhZyI6InByb2ZpbGVfcGljLmRqYW5nby45NjAuYzIifQ&amp;_nc_ht=instagram.fcgh5-1.fna.fbcdn.net&amp;_nc_cat=108&amp;_nc_oc=Q6cZ2gGtGNlorG_i_DrxTzPMyZpk1gsMQ3aXyEcTfbG8IJp3tCsZSHtuyu-bwGudwAL8bxPbmNSnw8Pti1ql8SP1Nmdy&amp;_nc_ohc=JlgxBRAztmMQ7kNvwEQA50Z&amp;_nc_gid=yZAGjAnYqzqi4zHAj-x8UQ&amp;edm=AI-cjbYBAAAA&amp;ccb=7-5&amp;oh=00_Af2_KFXEmNqhKIKRNGJJjoDHnF2kgJE6BaWLxeZXXwvn1g&amp;oe=69D8FE16&amp;_nc_sid=0985b0</t>
  </si>
  <si>
    <t>oticasafabrica</t>
  </si>
  <si>
    <t>28/10/2016, 09:46:54</t>
  </si>
  <si>
    <t>https://www.instagram.com/oticasafabrica</t>
  </si>
  <si>
    <t>https://instagram.fcgh5-2.fna.fbcdn.net/v/t51.2885-19/461861749_540407648442912_6988452992865259917_n.jpg?stp=dst-jpg_s150x150_tt6&amp;efg=eyJ2ZW5jb2RlX3RhZyI6InByb2ZpbGVfcGljLmRqYW5nby42NDAuYzIifQ&amp;_nc_ht=instagram.fcgh5-2.fna.fbcdn.net&amp;_nc_cat=100&amp;_nc_oc=Q6cZ2gGtGNlorG_i_DrxTzPMyZpk1gsMQ3aXyEcTfbG8IJp3tCsZSHtuyu-bwGudwAL8bxPbmNSnw8Pti1ql8SP1Nmdy&amp;_nc_ohc=flKlk0_DqlMQ7kNvwEDYg68&amp;_nc_gid=yZAGjAnYqzqi4zHAj-x8UQ&amp;edm=AI-cjbYBAAAA&amp;ccb=7-5&amp;oh=00_Af1t0PF2TT0tspjiMC_WnbeSZBBxen45hBfBe61EmeDkPg&amp;oe=69D8FD93&amp;_nc_sid=0985b0</t>
  </si>
  <si>
    <t>👍👍👍</t>
  </si>
  <si>
    <t>28/10/2016, 09:45:16</t>
  </si>
  <si>
    <t>https://instagram.fcgh5-2.fna.fbcdn.net/v/t51.2885-19/461861749_540407648442912_6988452992865259917_n.jpg?stp=dst-jpg_s150x150_tt6&amp;efg=eyJ2ZW5jb2RlX3RhZyI6InByb2ZpbGVfcGljLmRqYW5nby42NDAuYzIifQ&amp;_nc_ht=instagram.fcgh5-2.fna.fbcdn.net&amp;_nc_cat=100&amp;_nc_oc=Q6cZ2gEUrWovEkNrWs8g2HUv1AP-ZwkrefnmSXIYO-hgq48MieeEkEQLjrDiENU94JfWLQ3K2zlr-OBPCf_ZySr_R4uX&amp;_nc_ohc=flKlk0_DqlMQ7kNvwEDYg68&amp;_nc_gid=lsXbmiyG9Br5q3gxc6Y8Og&amp;edm=AI-cjbYBAAAA&amp;ccb=7-5&amp;oh=00_Af2I6RYoZ0f_6YVnDaHXlo5cZhnHb6tDQERUaSLxgtN_Ew&amp;oe=69D8FD93&amp;_nc_sid=0985b0</t>
  </si>
  <si>
    <t>jucanamaximiliano</t>
  </si>
  <si>
    <t>😃</t>
  </si>
  <si>
    <t>28/10/2016, 15:32:01</t>
  </si>
  <si>
    <t>https://www.instagram.com/jucanamaximiliano</t>
  </si>
  <si>
    <t>https://instagram.fcgh5-1.fna.fbcdn.net/v/t51.82787-19/613115739_18547156876036127_8845389473363956919_n.jpg?stp=dst-jpg_s150x150_tt6&amp;efg=eyJ2ZW5jb2RlX3RhZyI6InByb2ZpbGVfcGljLmRqYW5nby4xMDgwLmMyIn0&amp;_nc_ht=instagram.fcgh5-1.fna.fbcdn.net&amp;_nc_cat=111&amp;_nc_oc=Q6cZ2gEUrWovEkNrWs8g2HUv1AP-ZwkrefnmSXIYO-hgq48MieeEkEQLjrDiENU94JfWLQ3K2zlr-OBPCf_ZySr_R4uX&amp;_nc_ohc=YZeRuFXedWQQ7kNvwEQu3pQ&amp;_nc_gid=lsXbmiyG9Br5q3gxc6Y8Og&amp;edm=AI-cjbYBAAAA&amp;ccb=7-5&amp;oh=00_Af2tJepBh8FKqE6vI_rEmrGGrKksPrSdPLK5OV4VuvFprg&amp;oe=69D9029F&amp;_nc_sid=0985b0</t>
  </si>
  <si>
    <t>lojaaventura</t>
  </si>
  <si>
    <t>✌</t>
  </si>
  <si>
    <t>10/07/2018, 22:31:47</t>
  </si>
  <si>
    <t>https://www.instagram.com/lojaaventura</t>
  </si>
  <si>
    <t>https://instagram.fcgh5-2.fna.fbcdn.net/v/t51.2885-19/333516792_873557173720243_3231461025227539680_n.jpg?stp=dst-jpg_s150x150_tt6&amp;efg=eyJ2ZW5jb2RlX3RhZyI6InByb2ZpbGVfcGljLmRqYW5nby4zMjAuYzIifQ&amp;_nc_ht=instagram.fcgh5-2.fna.fbcdn.net&amp;_nc_cat=107&amp;_nc_oc=Q6cZ2gFOkNbLARQ24XIXNHZaMeIhTN_W8fH7AmXKYCOs3BkafePm4-KdQiaSadqSFETu1z5DF3qTiT_QHlhBll_GmWyS&amp;_nc_ohc=UZ9emP2gliIQ7kNvwGT3Yxw&amp;_nc_gid=XjXRJ62pY_svlHn_0wsPfg&amp;edm=AI-cjbYBAAAA&amp;ccb=7-5&amp;oh=00_Af3hARr1oNLDa0DAyIxqXtzs5mYHCiuEnHo995MbZUEQ7w&amp;oe=69D8C565&amp;_nc_sid=0985b0</t>
  </si>
  <si>
    <t>reidotaxisp</t>
  </si>
  <si>
    <t>Boa viagem 🛫 na volta se precisar agende o seu táxi 🚕conosco e economize. Abraços</t>
  </si>
  <si>
    <t>05/10/2016, 17:24:36</t>
  </si>
  <si>
    <t>https://www.instagram.com/reidotaxisp</t>
  </si>
  <si>
    <t>https://instagram.fcgh5-2.fna.fbcdn.net/v/t51.2885-19/179675424_287623322996287_2172385450816155665_n.jpg?stp=dst-jpg_s150x150_tt6&amp;efg=eyJ2ZW5jb2RlX3RhZyI6InByb2ZpbGVfcGljLmRqYW5nby44NzkuYzIifQ&amp;_nc_ht=instagram.fcgh5-2.fna.fbcdn.net&amp;_nc_cat=107&amp;_nc_oc=Q6cZ2gHQzOhxurIHyAtR0z87sx9Lrl_3sTKk1IA5MLyzBjocgPPo04xLYGlLT3Ky5VitiFo0rmgOZu2Zv3p1G0ILTb8u&amp;_nc_ohc=R68tUxb3l5IQ7kNvwG1Howk&amp;_nc_gid=WfQXDusWqTp3wFbWZ1uoiQ&amp;edm=AI-cjbYBAAAA&amp;ccb=7-5&amp;oh=00_Af0KJLnyp0yYCtdIvu9gX7_xI3IldzlQWPwLgtjoavngkQ&amp;oe=69D8F7CF&amp;_nc_sid=0985b0</t>
  </si>
  <si>
    <t>stefanschwarz.bcn</t>
  </si>
  <si>
    <t>06/10/2016, 13:49:13</t>
  </si>
  <si>
    <t>https://www.instagram.com/stefanschwarz.bcn</t>
  </si>
  <si>
    <t>https://instagram.fcgh5-1.fna.fbcdn.net/v/t51.82787-19/587786362_18543412975034276_3106461562255364650_n.jpg?stp=dst-jpg_s150x150_tt6&amp;efg=eyJ2ZW5jb2RlX3RhZyI6InByb2ZpbGVfcGljLmRqYW5nby45NjIuYzIifQ&amp;_nc_ht=instagram.fcgh5-1.fna.fbcdn.net&amp;_nc_cat=108&amp;_nc_oc=Q6cZ2gHQzOhxurIHyAtR0z87sx9Lrl_3sTKk1IA5MLyzBjocgPPo04xLYGlLT3Ky5VitiFo0rmgOZu2Zv3p1G0ILTb8u&amp;_nc_ohc=0XdI9DrUThMQ7kNvwEwKIJ1&amp;_nc_gid=WfQXDusWqTp3wFbWZ1uoiQ&amp;edm=AI-cjbYBAAAA&amp;ccb=7-5&amp;oh=00_Af2jB5mdKEAt6LQBp7CmF18FT1hlD3CxNKDCsu_69awLIQ&amp;oe=69D8E482&amp;_nc_sid=0985b0</t>
  </si>
  <si>
    <t>_pordois</t>
  </si>
  <si>
    <t>05/10/2016, 19:41:02</t>
  </si>
  <si>
    <t>https://www.instagram.com/_pordois</t>
  </si>
  <si>
    <t>https://instagram.fclo8-1.fna.fbcdn.net/v/t51.2885-19/573323465_1219825463302212_7278921664109726296_n.png?stp=dst-webp&amp;efg=eyJ2ZW5jb2RlX3RhZyI6InByb2ZpbGVfcGljLmRqYW5nby4xNTAuYzIifQ&amp;_nc_ht=instagram.fclo8-1.fna.fbcdn.net&amp;_nc_cat=1&amp;_nc_oc=Q6cZ2gF1B4u-XACriBfKKpgrgUlCqj-skFLsanzOSObJY4iIzi377T0NTex0gz-g5zk89pE&amp;_nc_ohc=a8xHEXzvkAIQ7kNvwGbEdde&amp;_nc_gid=zsA5lfz1N_ILaVlHuxdvsA&amp;edm=AA0lj5EBAAAA&amp;ccb=7-5&amp;ig_cache_key=YW5vbnltb3VzX3Byb2ZpbGVfcGlj.3-ccb7-5&amp;oh=00_Af2agm9NINJrqd9NJDbAQE55uxmHzGGCHU62F2tgqIKIjQ&amp;oe=69D8EAAA&amp;_nc_sid=0a490e</t>
  </si>
  <si>
    <t>corpoesaudebrasil</t>
  </si>
  <si>
    <t>12/10/2016, 18:43:04</t>
  </si>
  <si>
    <t>https://www.instagram.com/corpoesaudebrasil</t>
  </si>
  <si>
    <t>https://instagram.fcgh5-1.fna.fbcdn.net/v/t51.2885-19/326240125_3406074579682253_7888194425289595107_n.jpg?stp=dst-jpg_s150x150_tt6&amp;efg=eyJ2ZW5jb2RlX3RhZyI6InByb2ZpbGVfcGljLmRqYW5nby43MTEuYzIifQ&amp;_nc_ht=instagram.fcgh5-1.fna.fbcdn.net&amp;_nc_cat=105&amp;_nc_oc=Q6cZ2gGDjHlFk6omBrLt4_BKTWAGEnAn01Mxkxu2RgLisYupmXdad-MYbfl0753YSfxVUSHNDj6yJT8s7zRH7HZmACaB&amp;_nc_ohc=5IIFIUNs1_4Q7kNvwGfx9rE&amp;_nc_gid=tUL98fq6QD-jR3dn960AVw&amp;edm=AI-cjbYBAAAA&amp;ccb=7-5&amp;oh=00_Af0JKu3946728OIAbrNSOk5Ec1RRG15tTGIKLKi4mU-4Vw&amp;oe=69D8FE46&amp;_nc_sid=0985b0</t>
  </si>
  <si>
    <t>joaoleitaoviagens</t>
  </si>
  <si>
    <t>Inspiring!</t>
  </si>
  <si>
    <t>17/10/2016, 16:00:16</t>
  </si>
  <si>
    <t>https://www.instagram.com/joaoleitaoviagens</t>
  </si>
  <si>
    <t>https://instagram.fcgh5-2.fna.fbcdn.net/v/t51.2885-19/88276741_219264125796459_5594333750742745088_n.jpg?stp=dst-jpg_s150x150_tt6&amp;efg=eyJ2ZW5jb2RlX3RhZyI6InByb2ZpbGVfcGljLmRqYW5nby41NDAuYzIifQ&amp;_nc_ht=instagram.fcgh5-2.fna.fbcdn.net&amp;_nc_cat=103&amp;_nc_oc=Q6cZ2gGDjHlFk6omBrLt4_BKTWAGEnAn01Mxkxu2RgLisYupmXdad-MYbfl0753YSfxVUSHNDj6yJT8s7zRH7HZmACaB&amp;_nc_ohc=IeBwv6e3KbwQ7kNvwEne1VY&amp;_nc_gid=tUL98fq6QD-jR3dn960AVw&amp;edm=AI-cjbYBAAAA&amp;ccb=7-5&amp;oh=00_Af181omUg9kHAfC9wQY-52zt17CZ6hzDGOjdPIPAdeE4Pg&amp;oe=69D8E677&amp;_nc_sid=0985b0</t>
  </si>
  <si>
    <t>https://instagram.fros1-1.fna.fbcdn.net/v/t51.2885-19/573323465_1219825463302212_7278921664109726296_n.png?stp=dst-jpg_e0_s150x150_tt6&amp;efg=eyJ2ZW5jb2RlX3RhZyI6InByb2ZpbGVfcGljLmRqYW5nby4xNTAuYzIifQ&amp;_nc_ht=instagram.fros1-1.fna.fbcdn.net&amp;_nc_cat=1&amp;_nc_oc=Q6cZ2gH8ekcFeIAWN6SJaNDl5UIyMUuHWelbOs0Z5rD9sKG1ZEPz7iCu4yKXzFux0rKd2-Y&amp;_nc_ohc=a8xHEXzvkAIQ7kNvwGvqZ2s&amp;_nc_gid=J_R94YPScF_ToLW50vSU_w&amp;edm=APcnxpQBAAAA&amp;ccb=7-5&amp;ig_cache_key=YW5vbnltb3VzX3Byb2ZpbGVfcGlj.3-ccb7-5&amp;oh=00_Af3X3qCnnm3emP0_eWFRgdmV8XZ2lMZX1Kgr64bquvQTUg&amp;oe=69D8EAAA&amp;_nc_sid=a1bb5f</t>
  </si>
  <si>
    <t>https://instagram.fcgh5-1.fna.fbcdn.net/v/t51.2885-19/326240125_3406074579682253_7888194425289595107_n.jpg?stp=dst-jpg_s150x150_tt6&amp;efg=eyJ2ZW5jb2RlX3RhZyI6InByb2ZpbGVfcGljLmRqYW5nby43MTEuYzIifQ&amp;_nc_ht=instagram.fcgh5-1.fna.fbcdn.net&amp;_nc_cat=105&amp;_nc_oc=Q6cZ2gGa4VdmTck4zMGub2Az-9owN5R4ygRmiDQZ4nSvIJv7OQ1rm1b8O3DO-C7pupkiWIDouvDGLYeiNom_iAQo86Wr&amp;_nc_ohc=5IIFIUNs1_4Q7kNvwGfx9rE&amp;_nc_gid=NewDJZNjNxPx-i8-7o8PoA&amp;edm=AI-cjbYBAAAA&amp;ccb=7-5&amp;oh=00_Af3m3UUyj7NmapV7fuCfH20oeLLm8eFTw2oRaQD7Hj_ODA&amp;oe=69D8FE46&amp;_nc_sid=0985b0</t>
  </si>
  <si>
    <t>https://instagram.fcgh5-2.fna.fbcdn.net/v/t51.2885-19/88276741_219264125796459_5594333750742745088_n.jpg?stp=dst-jpg_s150x150_tt6&amp;efg=eyJ2ZW5jb2RlX3RhZyI6InByb2ZpbGVfcGljLmRqYW5nby41NDAuYzIifQ&amp;_nc_ht=instagram.fcgh5-2.fna.fbcdn.net&amp;_nc_cat=103&amp;_nc_oc=Q6cZ2gGa4VdmTck4zMGub2Az-9owN5R4ygRmiDQZ4nSvIJv7OQ1rm1b8O3DO-C7pupkiWIDouvDGLYeiNom_iAQo86Wr&amp;_nc_ohc=IeBwv6e3KbwQ7kNvwEne1VY&amp;_nc_gid=NewDJZNjNxPx-i8-7o8PoA&amp;edm=AI-cjbYBAAAA&amp;ccb=7-5&amp;oh=00_Af0k1D66wgway0V9LmRl4hwDC5a7Z63igZ8VObiiXsRmuA&amp;oe=69D8E677&amp;_nc_sid=0985b0</t>
  </si>
  <si>
    <t>loft523</t>
  </si>
  <si>
    <t>05/10/2016, 19:56:07</t>
  </si>
  <si>
    <t>https://www.instagram.com/loft523</t>
  </si>
  <si>
    <t>https://instagram.fcgh5-1.fna.fbcdn.net/v/t51.2885-19/11925880_1064897473542718_1703182003_a.jpg?stp=dst-jpg_s150x150_tt6&amp;efg=eyJ2ZW5jb2RlX3RhZyI6InByb2ZpbGVfcGljLmRqYW5nby45MDYuYzIifQ&amp;_nc_ht=instagram.fcgh5-1.fna.fbcdn.net&amp;_nc_cat=110&amp;_nc_oc=Q6cZ2gGqTtMjVQCnWwC5CRvaHcF-QMBRnyn9DuBxTsMu5GRbZLA3Ap2FOQOPb_1zQi0KXDGEFdIfBdrdLUn3LRtNePsY&amp;_nc_ohc=hdwIb3P8Lc8Q7kNvwHtbJ72&amp;_nc_gid=c8ooNzFvPrOvFISNcTfSwg&amp;edm=AI-cjbYBAAAA&amp;ccb=7-5&amp;oh=00_Af2mk1zCPdXV26J4Pn1TT3TSxlCT43ILJCv7gZ3UYGseMg&amp;oe=69D90F42&amp;_nc_sid=0985b0</t>
  </si>
  <si>
    <t>😉😉😉</t>
  </si>
  <si>
    <t>12/10/2016, 18:37:57</t>
  </si>
  <si>
    <t>https://instagram.fcgh5-1.fna.fbcdn.net/v/t51.2885-19/326240125_3406074579682253_7888194425289595107_n.jpg?stp=dst-jpg_s150x150_tt6&amp;efg=eyJ2ZW5jb2RlX3RhZyI6InByb2ZpbGVfcGljLmRqYW5nby43MTEuYzIifQ&amp;_nc_ht=instagram.fcgh5-1.fna.fbcdn.net&amp;_nc_cat=105&amp;_nc_oc=Q6cZ2gGqTtMjVQCnWwC5CRvaHcF-QMBRnyn9DuBxTsMu5GRbZLA3Ap2FOQOPb_1zQi0KXDGEFdIfBdrdLUn3LRtNePsY&amp;_nc_ohc=5IIFIUNs1_4Q7kNvwGfx9rE&amp;_nc_gid=c8ooNzFvPrOvFISNcTfSwg&amp;edm=AI-cjbYBAAAA&amp;ccb=7-5&amp;oh=00_Af0DlEIylzcSt4kHCaN63mrVCAF66nhX28n385NqXXdMsg&amp;oe=69D8FE46&amp;_nc_sid=0985b0</t>
  </si>
  <si>
    <t>Great 😆</t>
  </si>
  <si>
    <t>17/10/2016, 15:56:26</t>
  </si>
  <si>
    <t>https://instagram.fcgh5-2.fna.fbcdn.net/v/t51.2885-19/88276741_219264125796459_5594333750742745088_n.jpg?stp=dst-jpg_s150x150_tt6&amp;efg=eyJ2ZW5jb2RlX3RhZyI6InByb2ZpbGVfcGljLmRqYW5nby41NDAuYzIifQ&amp;_nc_ht=instagram.fcgh5-2.fna.fbcdn.net&amp;_nc_cat=103&amp;_nc_oc=Q6cZ2gGqTtMjVQCnWwC5CRvaHcF-QMBRnyn9DuBxTsMu5GRbZLA3Ap2FOQOPb_1zQi0KXDGEFdIfBdrdLUn3LRtNePsY&amp;_nc_ohc=IeBwv6e3KbwQ7kNvwEne1VY&amp;_nc_gid=c8ooNzFvPrOvFISNcTfSwg&amp;edm=AI-cjbYBAAAA&amp;ccb=7-5&amp;oh=00_Af3fJmNgauLbynjq4EWcF2R9217pd4XuZxTH4v3LQ76p8g&amp;oe=69D8E677&amp;_nc_sid=0985b0</t>
  </si>
  <si>
    <t>sumatrasurfersbeer</t>
  </si>
  <si>
    <t>Aloha 🏄!!!!</t>
  </si>
  <si>
    <t>02/08/2018, 06:47:12</t>
  </si>
  <si>
    <t>https://www.instagram.com/sumatrasurfersbeer</t>
  </si>
  <si>
    <t>https://instagram.fcgh5-1.fna.fbcdn.net/v/t51.2885-19/17882974_1845498122440070_4589062119281917952_n.jpg?stp=dst-jpg_s150x150_tt6&amp;efg=eyJ2ZW5jb2RlX3RhZyI6InByb2ZpbGVfcGljLmRqYW5nby43NDguYzIifQ&amp;_nc_ht=instagram.fcgh5-1.fna.fbcdn.net&amp;_nc_cat=102&amp;_nc_oc=Q6cZ2gEgXdB99p436jQbuHzHgczVtfQplDpAunzgZ39nUrYLeicQHu5bs4LsLTZ9Jeg3j2BeAYEb_j0bOCK07niTdsnn&amp;_nc_ohc=iSg1YajowNoQ7kNvwHQfdEM&amp;_nc_gid=raF63pqQXvGCHeWhld7vEw&amp;edm=AI-cjbYBAAAA&amp;ccb=7-5&amp;oh=00_Af3C12MtMz7cH3pb6L8zHGzR3H3BId8End3bGQFro6A8gw&amp;oe=69D8C690&amp;_nc_sid=0985b0</t>
  </si>
  <si>
    <t>london_secret_society</t>
  </si>
  <si>
    <t>🆒🆒🆒!!</t>
  </si>
  <si>
    <t>05/08/2018, 03:15:18</t>
  </si>
  <si>
    <t>https://www.instagram.com/london_secret_society</t>
  </si>
  <si>
    <t>https://instagram.fcgh5-1.fna.fbcdn.net/v/t51.2885-19/26269222_1914664508846624_905308797382164480_n.jpg?stp=dst-jpg_s150x150_tt6&amp;efg=eyJ2ZW5jb2RlX3RhZyI6InByb2ZpbGVfcGljLmRqYW5nby40MDAuYzIifQ&amp;_nc_ht=instagram.fcgh5-1.fna.fbcdn.net&amp;_nc_cat=108&amp;_nc_oc=Q6cZ2gEgXdB99p436jQbuHzHgczVtfQplDpAunzgZ39nUrYLeicQHu5bs4LsLTZ9Jeg3j2BeAYEb_j0bOCK07niTdsnn&amp;_nc_ohc=crzdLMBABCEQ7kNvwEaPT-l&amp;_nc_gid=raF63pqQXvGCHeWhld7vEw&amp;edm=AI-cjbYBAAAA&amp;ccb=7-5&amp;oh=00_Af2PwAT6tY-ERP_TSiBxtO5xggGo9ej1fok6PNKefMLXRw&amp;oe=69D8C8A5&amp;_nc_sid=0985b0</t>
  </si>
  <si>
    <t>jordanperronneau</t>
  </si>
  <si>
    <t>Super !</t>
  </si>
  <si>
    <t>06/10/2016, 22:09:19</t>
  </si>
  <si>
    <t>https://www.instagram.com/jordanperronneau</t>
  </si>
  <si>
    <t>https://instagram.fcgh5-2.fna.fbcdn.net/v/t51.2885-19/434173029_7369508866499292_4077326786550619703_n.jpg?stp=dst-jpg_s150x150_tt6&amp;efg=eyJ2ZW5jb2RlX3RhZyI6InByb2ZpbGVfcGljLmRqYW5nby4xMDY0LmMyIn0&amp;_nc_ht=instagram.fcgh5-2.fna.fbcdn.net&amp;_nc_cat=100&amp;_nc_oc=Q6cZ2gFm6UsVdQAweDMNq9rS1upPW2a-2-YDRGU1G8M9ENAi2wB8PdnbZFIdje84QieKg4uBiro3ueBnlD90d9RlcUqQ&amp;_nc_ohc=slTgD_AsmbYQ7kNvwHR9Vbm&amp;_nc_gid=rJOcirbDW1HHiR1xRF6-EQ&amp;edm=AI-cjbYBAAAA&amp;ccb=7-5&amp;oh=00_Af1f99h3YEeCgKGmDn3KIl1oTe0BnFZ9xndkqS9wYyN3tQ&amp;oe=69D8F53E&amp;_nc_sid=0985b0</t>
  </si>
  <si>
    <t>dacfloresta</t>
  </si>
  <si>
    <t>07/10/2016, 16:25:25</t>
  </si>
  <si>
    <t>https://www.instagram.com/dacfloresta</t>
  </si>
  <si>
    <t>https://instagram.fcgh5-1.fna.fbcdn.net/v/t51.2885-19/334226487_731856441896228_2101385648227541510_n.jpg?stp=dst-jpg_s150x150_tt6&amp;efg=eyJ2ZW5jb2RlX3RhZyI6InByb2ZpbGVfcGljLmRqYW5nby4xMDgwLmMyIn0&amp;_nc_ht=instagram.fcgh5-1.fna.fbcdn.net&amp;_nc_cat=108&amp;_nc_oc=Q6cZ2gFm6UsVdQAweDMNq9rS1upPW2a-2-YDRGU1G8M9ENAi2wB8PdnbZFIdje84QieKg4uBiro3ueBnlD90d9RlcUqQ&amp;_nc_ohc=cpu7tXcCqNoQ7kNvwGcIXmS&amp;_nc_gid=rJOcirbDW1HHiR1xRF6-EQ&amp;edm=AI-cjbYBAAAA&amp;ccb=7-5&amp;oh=00_Af0w_2bGvg-IR6mP4hle_VubJrHvECT85cXQlZKfDlnUtA&amp;oe=69D9141B&amp;_nc_sid=0985b0</t>
  </si>
  <si>
    <t>mikedeiri</t>
  </si>
  <si>
    <t>Sieht echt gut aus 👀</t>
  </si>
  <si>
    <t>10/10/2016, 21:43:44</t>
  </si>
  <si>
    <t>https://www.instagram.com/mikedeiri</t>
  </si>
  <si>
    <t>https://instagram.fcgh5-1.fna.fbcdn.net/v/t51.82787-19/551342164_18533031064050838_7276637599284596831_n.jpg?stp=dst-jpg_s150x150_tt6&amp;efg=eyJ2ZW5jb2RlX3RhZyI6InByb2ZpbGVfcGljLmRqYW5nby4xMDgwLmMyIn0&amp;_nc_ht=instagram.fcgh5-1.fna.fbcdn.net&amp;_nc_cat=110&amp;_nc_oc=Q6cZ2gFm6UsVdQAweDMNq9rS1upPW2a-2-YDRGU1G8M9ENAi2wB8PdnbZFIdje84QieKg4uBiro3ueBnlD90d9RlcUqQ&amp;_nc_ohc=68MFwV-yx0UQ7kNvwH7Xvwy&amp;_nc_gid=rJOcirbDW1HHiR1xRF6-EQ&amp;edm=AI-cjbYBAAAA&amp;ccb=7-5&amp;oh=00_Af0XM7Ytjvglkie_pk8Yn9-7v4Vm3N_NZOkVMm2WPfdrZA&amp;oe=69D8E33D&amp;_nc_sid=0985b0</t>
  </si>
  <si>
    <t>diegotovar</t>
  </si>
  <si>
    <t>😄 😄 😄</t>
  </si>
  <si>
    <t>11/10/2016, 00:45:20</t>
  </si>
  <si>
    <t>https://www.instagram.com/diegotovar</t>
  </si>
  <si>
    <t>https://instagram.fcgh5-1.fna.fbcdn.net/v/t51.2885-19/53309117_300693553934033_6529161153975681024_n.jpg?stp=dst-jpg_s150x150_tt6&amp;efg=eyJ2ZW5jb2RlX3RhZyI6InByb2ZpbGVfcGljLmRqYW5nby4xMDgwLmMyIn0&amp;_nc_ht=instagram.fcgh5-1.fna.fbcdn.net&amp;_nc_cat=105&amp;_nc_oc=Q6cZ2gFm6UsVdQAweDMNq9rS1upPW2a-2-YDRGU1G8M9ENAi2wB8PdnbZFIdje84QieKg4uBiro3ueBnlD90d9RlcUqQ&amp;_nc_ohc=aGaUNWGwgnEQ7kNvwE8saQX&amp;_nc_gid=rJOcirbDW1HHiR1xRF6-EQ&amp;edm=AI-cjbYBAAAA&amp;ccb=7-5&amp;oh=00_Af3MwiJbKTPMv6tj5dWANPCCKsvS9LYmCCgT2Qb11yeOrw&amp;oe=69D90985&amp;_nc_sid=0985b0</t>
  </si>
  <si>
    <t>😉😉 × 😉</t>
  </si>
  <si>
    <t>12/10/2016, 18:35:55</t>
  </si>
  <si>
    <t>https://instagram.fcgh5-1.fna.fbcdn.net/v/t51.2885-19/326240125_3406074579682253_7888194425289595107_n.jpg?stp=dst-jpg_s150x150_tt6&amp;efg=eyJ2ZW5jb2RlX3RhZyI6InByb2ZpbGVfcGljLmRqYW5nby43MTEuYzIifQ&amp;_nc_ht=instagram.fcgh5-1.fna.fbcdn.net&amp;_nc_cat=105&amp;_nc_oc=Q6cZ2gFm6UsVdQAweDMNq9rS1upPW2a-2-YDRGU1G8M9ENAi2wB8PdnbZFIdje84QieKg4uBiro3ueBnlD90d9RlcUqQ&amp;_nc_ohc=5IIFIUNs1_4Q7kNvwGfx9rE&amp;_nc_gid=rJOcirbDW1HHiR1xRF6-EQ&amp;edm=AI-cjbYBAAAA&amp;ccb=7-5&amp;oh=00_Af0I8xthwHNT4YgePpxDzePy2C1KLp2akiJfU-YH_dH7gA&amp;oe=69D8FE46&amp;_nc_sid=0985b0</t>
  </si>
  <si>
    <t>lovetravelco</t>
  </si>
  <si>
    <t>Nothin' like travel!  Awesome pic! ☺</t>
  </si>
  <si>
    <t>13/10/2016, 07:20:14</t>
  </si>
  <si>
    <t>https://www.instagram.com/lovetravelco</t>
  </si>
  <si>
    <t>https://instagram.fcgh5-1.fna.fbcdn.net/v/t51.2885-19/60958914_653165145105977_1460693844516405248_n.jpg?stp=dst-jpg_s150x150_tt6&amp;efg=eyJ2ZW5jb2RlX3RhZyI6InByb2ZpbGVfcGljLmRqYW5nby4zOTAuYzIifQ&amp;_nc_ht=instagram.fcgh5-1.fna.fbcdn.net&amp;_nc_cat=105&amp;_nc_oc=Q6cZ2gFm6UsVdQAweDMNq9rS1upPW2a-2-YDRGU1G8M9ENAi2wB8PdnbZFIdje84QieKg4uBiro3ueBnlD90d9RlcUqQ&amp;_nc_ohc=nks9ml63EYgQ7kNvwEqYy3U&amp;_nc_gid=rJOcirbDW1HHiR1xRF6-EQ&amp;edm=AI-cjbYBAAAA&amp;ccb=7-5&amp;oh=00_Af0kfFBkloxpZBKvYtydUp0cEqC7kxzX4dEzGkEciGZv2Q&amp;oe=69D8FE28&amp;_nc_sid=0985b0</t>
  </si>
  <si>
    <t>belaaires</t>
  </si>
  <si>
    <t>😊👍 !!!!!</t>
  </si>
  <si>
    <t>13/10/2016, 20:41:19</t>
  </si>
  <si>
    <t>https://www.instagram.com/belaaires</t>
  </si>
  <si>
    <t>https://instagram.fcgh5-1.fna.fbcdn.net/v/t51.82787-19/642376594_18569220643010217_2580665720915160037_n.jpg?stp=dst-jpg_s150x150_tt6&amp;efg=eyJ2ZW5jb2RlX3RhZyI6InByb2ZpbGVfcGljLmRqYW5nby44OTcuYzIifQ&amp;_nc_ht=instagram.fcgh5-1.fna.fbcdn.net&amp;_nc_cat=109&amp;_nc_oc=Q6cZ2gFm6UsVdQAweDMNq9rS1upPW2a-2-YDRGU1G8M9ENAi2wB8PdnbZFIdje84QieKg4uBiro3ueBnlD90d9RlcUqQ&amp;_nc_ohc=5LzN7eNNwBIQ7kNvwG8NZrN&amp;_nc_gid=rJOcirbDW1HHiR1xRF6-EQ&amp;edm=AI-cjbYBAAAA&amp;ccb=7-5&amp;oh=00_Af1tWxiRXCra85eOEi4xNPElbHlz76kSYSyG58wls-5JKQ&amp;oe=69D8F3E2&amp;_nc_sid=0985b0</t>
  </si>
  <si>
    <t>pkopgr</t>
  </si>
  <si>
    <t>15/10/2016, 17:32:57</t>
  </si>
  <si>
    <t>https://www.instagram.com/pkopgr</t>
  </si>
  <si>
    <t>https://instagram.fcgh5-2.fna.fbcdn.net/v/t51.2885-19/398032343_595454429305309_3639352577945050195_n.jpg?stp=dst-jpg_s150x150_tt6&amp;efg=eyJ2ZW5jb2RlX3RhZyI6InByb2ZpbGVfcGljLmRqYW5nby44MTQuYzIifQ&amp;_nc_ht=instagram.fcgh5-2.fna.fbcdn.net&amp;_nc_cat=101&amp;_nc_oc=Q6cZ2gFm6UsVdQAweDMNq9rS1upPW2a-2-YDRGU1G8M9ENAi2wB8PdnbZFIdje84QieKg4uBiro3ueBnlD90d9RlcUqQ&amp;_nc_ohc=roP0jXTbcc8Q7kNvwFfn4ye&amp;_nc_gid=rJOcirbDW1HHiR1xRF6-EQ&amp;edm=AI-cjbYBAAAA&amp;ccb=7-5&amp;oh=00_Af0NMAkNkI3uN2Zm9eqq4HjSlEwMo8hHzsLEzb8Blu48LQ&amp;oe=69D90912&amp;_nc_sid=0985b0</t>
  </si>
  <si>
    <t>17/10/2016, 15:53:35</t>
  </si>
  <si>
    <t>https://instagram.fcgh5-2.fna.fbcdn.net/v/t51.2885-19/88276741_219264125796459_5594333750742745088_n.jpg?stp=dst-jpg_s150x150_tt6&amp;efg=eyJ2ZW5jb2RlX3RhZyI6InByb2ZpbGVfcGljLmRqYW5nby41NDAuYzIifQ&amp;_nc_ht=instagram.fcgh5-2.fna.fbcdn.net&amp;_nc_cat=103&amp;_nc_oc=Q6cZ2gFm6UsVdQAweDMNq9rS1upPW2a-2-YDRGU1G8M9ENAi2wB8PdnbZFIdje84QieKg4uBiro3ueBnlD90d9RlcUqQ&amp;_nc_ohc=IeBwv6e3KbwQ7kNvwEne1VY&amp;_nc_gid=rJOcirbDW1HHiR1xRF6-EQ&amp;edm=AI-cjbYBAAAA&amp;ccb=7-5&amp;oh=00_Af2o_Dzv1p9ev7LuBZine5zKAoZ-jH6oHV4KN73XXdlecQ&amp;oe=69D8E677&amp;_nc_sid=0985b0</t>
  </si>
  <si>
    <t>fk_divulga</t>
  </si>
  <si>
    <t>Que bacana seu Instagram!! Parabéns</t>
  </si>
  <si>
    <t>18/10/2016, 15:18:05</t>
  </si>
  <si>
    <t>https://www.instagram.com/fk_divulga</t>
  </si>
  <si>
    <t>https://instagram.fcgh5-2.fna.fbcdn.net/v/t51.2885-19/19932167_2036640169890223_4525713718192898048_a.jpg?stp=dst-jpg_s150x150_tt6&amp;efg=eyJ2ZW5jb2RlX3RhZyI6InByb2ZpbGVfcGljLmRqYW5nby40NDcuYzIifQ&amp;_nc_ht=instagram.fcgh5-2.fna.fbcdn.net&amp;_nc_cat=107&amp;_nc_oc=Q6cZ2gG9qNrtvKYeg-zGlAQg5rCzqGsx3iQk_6BtYfyP-S_J8aBTzzj5tnzPcRnVq4P5ZENUvQwW9T5WgdGjiJC5j5M3&amp;_nc_ohc=LOPCcOqscUMQ7kNvwG6lQCn&amp;_nc_gid=3TJcjo14y6O1BvaSV2U5hQ&amp;edm=AI-cjbYBAAAA&amp;ccb=7-5&amp;oh=00_Af0Ko7nc3WQyJiDOMoKTrh0GFricT9mm_N-Ib-4WJgWdsQ&amp;oe=69D91945&amp;_nc_sid=0985b0</t>
  </si>
  <si>
    <t>aquasurfcamp</t>
  </si>
  <si>
    <t>✌ Good Vibes</t>
  </si>
  <si>
    <t>19/10/2016, 12:16:29</t>
  </si>
  <si>
    <t>https://www.instagram.com/aquasurfcamp</t>
  </si>
  <si>
    <t>https://instagram.fcgh5-1.fna.fbcdn.net/v/t51.2885-19/12552267_514390548741754_2040891677_a.jpg?stp=dst-jpg_s150x150_tt6&amp;efg=eyJ2ZW5jb2RlX3RhZyI6InByb2ZpbGVfcGljLmRqYW5nby4xMDgwLmMyIn0&amp;_nc_ht=instagram.fcgh5-1.fna.fbcdn.net&amp;_nc_cat=110&amp;_nc_oc=Q6cZ2gG9qNrtvKYeg-zGlAQg5rCzqGsx3iQk_6BtYfyP-S_J8aBTzzj5tnzPcRnVq4P5ZENUvQwW9T5WgdGjiJC5j5M3&amp;_nc_ohc=OtqMxXhtqkcQ7kNvwHd_rMb&amp;_nc_gid=3TJcjo14y6O1BvaSV2U5hQ&amp;edm=AI-cjbYBAAAA&amp;ccb=7-5&amp;oh=00_Af3B1G0DJtqKi_vlTgpMcwtL-BgVAjtcKRB9IOEVitUl_g&amp;oe=69D91123&amp;_nc_sid=0985b0</t>
  </si>
  <si>
    <t>cestlaviebarcelona</t>
  </si>
  <si>
    <t>nice pic!</t>
  </si>
  <si>
    <t>18/07/2018, 14:47:09</t>
  </si>
  <si>
    <t>https://www.instagram.com/cestlaviebarcelona</t>
  </si>
  <si>
    <t>https://instagram.fcgh5-2.fna.fbcdn.net/v/t51.2885-19/13285293_488598024672853_1262628641_a.jpg?stp=dst-jpg_s150x150_tt6&amp;efg=eyJ2ZW5jb2RlX3RhZyI6InByb2ZpbGVfcGljLmRqYW5nby42ODUuYzIifQ&amp;_nc_ht=instagram.fcgh5-2.fna.fbcdn.net&amp;_nc_cat=101&amp;_nc_oc=Q6cZ2gE3NSacxXO0Dgk_Kzp9pqNWTu5uF9SLqh2wOOJUdwwI_ZXFfa6xyppzDYq7-l1Qsd2kpNfx6C1x6LH6HFvt0NnA&amp;_nc_ohc=MA3KYydWPF4Q7kNvwHYfHld&amp;_nc_gid=lcoc0ly1q7_wSyw2N2r7jQ&amp;edm=AI-cjbYBAAAA&amp;ccb=7-5&amp;oh=00_Af0jeqhyEem3NthpOIHu_MsFWtgdPX1RAvKQGZ4PDaS-mA&amp;oe=69D8BACD&amp;_nc_sid=0985b0</t>
  </si>
  <si>
    <t>techluxoo</t>
  </si>
  <si>
    <t>05/11/2016, 12:36:21</t>
  </si>
  <si>
    <t>https://www.instagram.com/techluxoo</t>
  </si>
  <si>
    <t>https://instagram.fcgh5-2.fna.fbcdn.net/v/t51.2885-19/460661912_1065996688496407_3201080260304347081_n.jpg?stp=dst-jpg_s150x150_tt6&amp;efg=eyJ2ZW5jb2RlX3RhZyI6InByb2ZpbGVfcGljLmRqYW5nby43NjcuYzIifQ&amp;_nc_ht=instagram.fcgh5-2.fna.fbcdn.net&amp;_nc_cat=107&amp;_nc_oc=Q6cZ2gGHrnDHVoUgutzMKbPLVzagmSK74IcP1MMyxWwco9Ww2o-IMT_021CdGp_Y2cLr6n7ZpUFz9Wxbtp4vdkoLpnB4&amp;_nc_ohc=92pFH3OOXZkQ7kNvwF__6kf&amp;_nc_gid=5hMeeuBWHMvV-4Ny6JqSwA&amp;edm=AI-cjbYBAAAA&amp;ccb=7-5&amp;oh=00_Af12ouHeEgKqtt0pbIS1d9vZ1s6_P14vbtXcqwGmls1gGg&amp;oe=69D8E1DC&amp;_nc_sid=0985b0</t>
  </si>
  <si>
    <t>jacadatravel</t>
  </si>
  <si>
    <t>Great capture!</t>
  </si>
  <si>
    <t>08/11/2016, 14:15:39</t>
  </si>
  <si>
    <t>https://www.instagram.com/jacadatravel</t>
  </si>
  <si>
    <t>https://instagram.fcgh5-1.fna.fbcdn.net/v/t51.2885-19/38081721_2049366825088214_4848093538228895744_n.jpg?stp=dst-jpg_s150x150_tt6&amp;efg=eyJ2ZW5jb2RlX3RhZyI6InByb2ZpbGVfcGljLmRqYW5nby4zMTkuYzIifQ&amp;_nc_ht=instagram.fcgh5-1.fna.fbcdn.net&amp;_nc_cat=102&amp;_nc_oc=Q6cZ2gFR1GGWsIbiq01AbogwpEnsPeKXw9xhLR2mCNI3u4uIRYlIMHvMDvwlFyYR4_sgMU2DWuZZ6bx1uwWSofo1icz0&amp;_nc_ohc=aahBhXv-PqQQ7kNvwHCM9Yq&amp;_nc_gid=gwmRbj2NaQhrByTEQ3EvKw&amp;edm=AI-cjbYBAAAA&amp;ccb=7-5&amp;oh=00_Af0ISSKdnVHAAjH7hqKO6OXghiLheCu-SoBuFemUll2feA&amp;oe=69D8E251&amp;_nc_sid=0985b0</t>
  </si>
  <si>
    <t>lollo_salvi</t>
  </si>
  <si>
    <t>Fantastic...!</t>
  </si>
  <si>
    <t>09/11/2016, 22:54:41</t>
  </si>
  <si>
    <t>https://www.instagram.com/lollo_salvi</t>
  </si>
  <si>
    <t>https://instagram.fcgh5-2.fna.fbcdn.net/v/t51.82787-19/528317673_18522914827035702_5482054331741540970_n.jpg?stp=dst-jpg_s150x150_tt6&amp;efg=eyJ2ZW5jb2RlX3RhZyI6InByb2ZpbGVfcGljLmRqYW5nby4xMDgwLmMyIn0&amp;_nc_ht=instagram.fcgh5-2.fna.fbcdn.net&amp;_nc_cat=106&amp;_nc_oc=Q6cZ2gEAW8Crtk5axhn6iGPdlNoHEUdHtKoDUo0zpRdAh47PT3woMgy78kKtwyxefO80VD0fPKHiKoM8X460ovmfK-Pk&amp;_nc_ohc=ustGpQynFZoQ7kNvwFnW9YZ&amp;_nc_gid=rRJ75aA_AMZ2adIfMuVVTg&amp;edm=AI-cjbYBAAAA&amp;ccb=7-5&amp;oh=00_Af3_aUvDmdyxrXqdHt8EluaxJY5TK9SLkcv0zeWfeojJAQ&amp;oe=69D8E72B&amp;_nc_sid=0985b0</t>
  </si>
  <si>
    <t>ciadosaromas.store</t>
  </si>
  <si>
    <t>🔝🔝🔝 #meumundoaroma ...</t>
  </si>
  <si>
    <t>01/11/2016, 22:59:28</t>
  </si>
  <si>
    <t>https://www.instagram.com/ciadosaromas.store</t>
  </si>
  <si>
    <t>https://instagram.fcgh5-2.fna.fbcdn.net/v/t51.2885-19/282526691_379015170944140_4132390360508024304_n.jpg?stp=dst-jpg_s150x150_tt6&amp;efg=eyJ2ZW5jb2RlX3RhZyI6InByb2ZpbGVfcGljLmRqYW5nby44NDkuYzIifQ&amp;_nc_ht=instagram.fcgh5-2.fna.fbcdn.net&amp;_nc_cat=104&amp;_nc_oc=Q6cZ2gHTh-BiF54Ol0Pj2xtJt2XJeb1QTRnQTjg8jKMKdPifh4GdQv9gtM0uym2dMdiE80GkSFNeKMy-zANgo3KySqpi&amp;_nc_ohc=015ImSSk5jsQ7kNvwFFO7vD&amp;_nc_gid=hCA_tTlytgWvEkcoUqbxJg&amp;edm=AI-cjbYBAAAA&amp;ccb=7-5&amp;oh=00_Af2ScyhGM6-j6aIqPLpFW9gODAj7IbM27LMW_wF4FH7IqQ&amp;oe=69D8EF9B&amp;_nc_sid=0985b0</t>
  </si>
  <si>
    <t>02/11/2016, 20:36:09</t>
  </si>
  <si>
    <t>https://instagram.fcgh5-2.fna.fbcdn.net/v/t51.2885-19/341171800_716643113539561_2469082864843748007_n.jpg?stp=dst-jpg_s150x150_tt6&amp;efg=eyJ2ZW5jb2RlX3RhZyI6InByb2ZpbGVfcGljLmRqYW5nby4xMDgwLmMyIn0&amp;_nc_ht=instagram.fcgh5-2.fna.fbcdn.net&amp;_nc_cat=101&amp;_nc_oc=Q6cZ2gHTh-BiF54Ol0Pj2xtJt2XJeb1QTRnQTjg8jKMKdPifh4GdQv9gtM0uym2dMdiE80GkSFNeKMy-zANgo3KySqpi&amp;_nc_ohc=shwqwzpBZfgQ7kNvwFWlm04&amp;_nc_gid=hCA_tTlytgWvEkcoUqbxJg&amp;edm=AI-cjbYBAAAA&amp;ccb=7-5&amp;oh=00_Af3W87aERh4dL0K1jWLG4QLa_cb_dBBiJ3G2G35w7qWJmg&amp;oe=69D8E3BA&amp;_nc_sid=0985b0</t>
  </si>
  <si>
    <t>snakku</t>
  </si>
  <si>
    <t>Love your posts ☺</t>
  </si>
  <si>
    <t>03/11/2016, 09:08:18</t>
  </si>
  <si>
    <t>https://www.instagram.com/snakku</t>
  </si>
  <si>
    <t>https://instagram.fcgh5-1.fna.fbcdn.net/v/t51.2885-19/11117039_802069953180705_209822400_a.jpg?stp=dst-jpg_s150x150_tt6&amp;efg=eyJ2ZW5jb2RlX3RhZyI6InByb2ZpbGVfcGljLmRqYW5nby4xNTAuYzIifQ&amp;_nc_ht=instagram.fcgh5-1.fna.fbcdn.net&amp;_nc_cat=109&amp;_nc_oc=Q6cZ2gHTh-BiF54Ol0Pj2xtJt2XJeb1QTRnQTjg8jKMKdPifh4GdQv9gtM0uym2dMdiE80GkSFNeKMy-zANgo3KySqpi&amp;_nc_ohc=3EZNhZ_Rzn4Q7kNvwHQRyD3&amp;_nc_gid=hCA_tTlytgWvEkcoUqbxJg&amp;edm=AI-cjbYBAAAA&amp;ccb=7-5&amp;oh=00_Af1jTOW_7bR_jJ25RGAlK6fV4eQStKECVIZFsN9AOgifDA&amp;oe=69D9076B&amp;_nc_sid=0985b0</t>
  </si>
  <si>
    <t>findingtrips.online</t>
  </si>
  <si>
    <t>Well done!</t>
  </si>
  <si>
    <t>14/11/2016, 03:13:44</t>
  </si>
  <si>
    <t>https://www.instagram.com/findingtrips.online</t>
  </si>
  <si>
    <t>https://instagram.fcgh5-1.fna.fbcdn.net/v/t51.2885-19/14709531_601188443402890_741978067357925376_a.jpg?stp=dst-jpg_s150x150_tt6&amp;efg=eyJ2ZW5jb2RlX3RhZyI6InByb2ZpbGVfcGljLmRqYW5nby4xMDgwLmMyIn0&amp;_nc_ht=instagram.fcgh5-1.fna.fbcdn.net&amp;_nc_cat=110&amp;_nc_oc=Q6cZ2gHnKI-D9kShB1cLUdvU3fEWxtV9wOBBOJFCLxL9f6fwTIScRUmlw-0hGtxvFZX8HJ8Sd3w2M77yr_ZFoMNzS3M-&amp;_nc_ohc=aJVz7rWFIjwQ7kNvwGYpfHJ&amp;_nc_gid=mw21YBYzEFS_o_xUxM5bRQ&amp;edm=AI-cjbYBAAAA&amp;ccb=7-5&amp;oh=00_Af1P_wVbSIy_mimAPGEqQCfRTua1Wbi1oPtUAJwH0AOl_w&amp;oe=69D909B2&amp;_nc_sid=0985b0</t>
  </si>
  <si>
    <t>18/11/2016, 12:45:56</t>
  </si>
  <si>
    <t>https://instagram.fcgh5-1.fna.fbcdn.net/v/t51.2885-19/326240125_3406074579682253_7888194425289595107_n.jpg?stp=dst-jpg_s150x150_tt6&amp;efg=eyJ2ZW5jb2RlX3RhZyI6InByb2ZpbGVfcGljLmRqYW5nby43MTEuYzIifQ&amp;_nc_ht=instagram.fcgh5-1.fna.fbcdn.net&amp;_nc_cat=105&amp;_nc_oc=Q6cZ2gGi7_mzbaoFRExTv0Aiex6USVxcgFrdTFg-odjBR7zHI14PeikUHipO-XYE_VL5ZV8CdKNg0jeYttKuv81DUnX4&amp;_nc_ohc=5IIFIUNs1_4Q7kNvwGfx9rE&amp;_nc_gid=4TjA3ncrAh3Ui_34Moayzg&amp;edm=AI-cjbYBAAAA&amp;ccb=7-5&amp;oh=00_Af3pDTdxIk7H35Lic8IfIg10DgIc-KkGChDsKWnwCYPKjQ&amp;oe=69D8FE46&amp;_nc_sid=0985b0</t>
  </si>
  <si>
    <t>urso.caramelo</t>
  </si>
  <si>
    <t>😍😍😍</t>
  </si>
  <si>
    <t>22/08/2018, 11:13:30</t>
  </si>
  <si>
    <t>https://www.instagram.com/urso.caramelo</t>
  </si>
  <si>
    <t>https://instagram.fcgh5-2.fna.fbcdn.net/v/t51.2885-19/261802114_3884218435136478_1528988234630823191_n.jpg?stp=dst-jpg_s150x150_tt6&amp;efg=eyJ2ZW5jb2RlX3RhZyI6InByb2ZpbGVfcGljLmRqYW5nby4xMDgwLmMyIn0&amp;_nc_ht=instagram.fcgh5-2.fna.fbcdn.net&amp;_nc_cat=106&amp;_nc_oc=Q6cZ2gGWarwWix9xhBnIMWesi9zzLux1IbifpS9toKkc5iIbdRCXFFgi5sI9EMG-dOPPlm7T_DrLARTT101FNvPD6sM2&amp;_nc_ohc=g97HmDzjkW0Q7kNvwGyRU06&amp;_nc_gid=xW9GQ614c7CNtLfBxphCnQ&amp;edm=AI-cjbYBAAAA&amp;ccb=7-5&amp;oh=00_Af3xqR1NAzDFkzMiiefYdb4muyEXEUMnbBgzUneJY7GgYw&amp;oe=69D8C769&amp;_nc_sid=0985b0</t>
  </si>
  <si>
    <t>romarps</t>
  </si>
  <si>
    <t>22/08/2018, 11:53:24</t>
  </si>
  <si>
    <t>https://www.instagram.com/romarps</t>
  </si>
  <si>
    <t>https://instagram.fcgh5-1.fna.fbcdn.net/v/t51.2885-19/486074991_656973413780291_5247268855309734406_n.jpg?stp=dst-jpg_s150x150_tt6&amp;efg=eyJ2ZW5jb2RlX3RhZyI6InByb2ZpbGVfcGljLmRqYW5nby4xMDgwLmMyIn0&amp;_nc_ht=instagram.fcgh5-1.fna.fbcdn.net&amp;_nc_cat=111&amp;_nc_oc=Q6cZ2gEh_oVZWmZaih3sf95N-GBQ6Scbs2dmZqDmNvlRmMRqo_Q9X4VTfPBVS1MDE5T7HVzQBrtW-FM5hDsQb5Km_TkI&amp;_nc_ohc=BmVPauqJY7IQ7kNvwGclq6z&amp;_nc_gid=reixY1Ftg1UP-Yk1Q7iowg&amp;edm=AI-cjbYBAAAA&amp;ccb=7-5&amp;oh=00_Af3yzwGaJW-Y_slGaFIQ4PQ2Br18NvMC_76eHcFHCEiqAA&amp;oe=69D8B745&amp;_nc_sid=0985b0</t>
  </si>
  <si>
    <t>https://instagram.fcgh5-1.fna.fbcdn.net/v/t51.2885-19/486074991_656973413780291_5247268855309734406_n.jpg?stp=dst-jpg_s150x150_tt6&amp;efg=eyJ2ZW5jb2RlX3RhZyI6InByb2ZpbGVfcGljLmRqYW5nby4xMDgwLmMyIn0&amp;_nc_ht=instagram.fcgh5-1.fna.fbcdn.net&amp;_nc_cat=111&amp;_nc_oc=Q6cZ2gHKjhCpMUzeRHLFu1sycC0D9P5sSUtdcB7D6Cv7FDIZQ2kx3Ro8ziArxXZI8XmtQotR7C_wEPrgmcciGEf5D5n6&amp;_nc_ohc=BmVPauqJY7IQ7kNvwGclq6z&amp;_nc_gid=xdQwAO52La1BczwpAfP9UA&amp;edm=AI-cjbYBAAAA&amp;ccb=7-5&amp;oh=00_Af1Z25ZPasQS6I4i9Rhm_LM4-OOTwfnSWd8cm5UryP1vQA&amp;oe=69D8B745&amp;_nc_sid=0985b0</t>
  </si>
  <si>
    <t>gabivanucci</t>
  </si>
  <si>
    <t>🎉</t>
  </si>
  <si>
    <t>04/09/2018, 03:42:13</t>
  </si>
  <si>
    <t>https://www.instagram.com/gabivanucci</t>
  </si>
  <si>
    <t>https://instagram.fcgh5-1.fna.fbcdn.net/v/t51.82787-19/643561502_18570824311015833_3304161544041442831_n.jpg?stp=dst-jpg_s150x150_tt6&amp;efg=eyJ2ZW5jb2RlX3RhZyI6InByb2ZpbGVfcGljLmRqYW5nby4xMDgwLmMyIn0&amp;_nc_ht=instagram.fcgh5-1.fna.fbcdn.net&amp;_nc_cat=109&amp;_nc_oc=Q6cZ2gGcIFraZCGmQ9Q66qlzWdE4YjgS1ESiBp7Mx9UlzVpfrTPCsqvr_vUnWGDKzxfSlaYi_lY002CkRp6uPCD6VMM4&amp;_nc_ohc=PuIFYLkkLYQQ7kNvwGWJWVs&amp;_nc_gid=jDg3921ONkf9_3Oclsxw9A&amp;edm=AI-cjbYBAAAA&amp;ccb=7-5&amp;oh=00_Af2-3vHewS6NKTT5L9XrJ5DG0enhJxW7_n3WSxZD4XQt3A&amp;oe=69D8C099&amp;_nc_sid=0985b0</t>
  </si>
  <si>
    <t>jesslingard</t>
  </si>
  <si>
    <t>Looks great!</t>
  </si>
  <si>
    <t>17/11/2016, 23:06:36</t>
  </si>
  <si>
    <t>https://www.instagram.com/jesslingard</t>
  </si>
  <si>
    <t>https://instagram.fcgh5-2.fna.fbcdn.net/v/t51.2885-19/129099642_392523465135807_6202646179681141499_n.jpg?stp=dst-jpg_s150x150_tt6&amp;efg=eyJ2ZW5jb2RlX3RhZyI6InByb2ZpbGVfcGljLmRqYW5nby4xMDgwLmMyIn0&amp;_nc_ht=instagram.fcgh5-2.fna.fbcdn.net&amp;_nc_cat=103&amp;_nc_oc=Q6cZ2gHwIVRiI2tVMLzqHtKaJxD2oBDzvBcl84_nPtMumXDZ4YhUNPm1VSOfZV9UO5hutWuH2oi2BvCEyeXhFrFaUG5Q&amp;_nc_ohc=rwlHUfPpUj0Q7kNvwHnXrB4&amp;_nc_gid=yXsUS2XfQKVAw9kQeJVM5w&amp;edm=AI-cjbYBAAAA&amp;ccb=7-5&amp;oh=00_Af26_2-BgPVA6JSE6TpPHW-u8exDNXlAlgqBKW11GM9_eQ&amp;oe=69D8F123&amp;_nc_sid=0985b0</t>
  </si>
  <si>
    <t>👍👍</t>
  </si>
  <si>
    <t>18/11/2016, 12:41:07</t>
  </si>
  <si>
    <t>https://instagram.fcgh5-1.fna.fbcdn.net/v/t51.2885-19/326240125_3406074579682253_7888194425289595107_n.jpg?stp=dst-jpg_s150x150_tt6&amp;efg=eyJ2ZW5jb2RlX3RhZyI6InByb2ZpbGVfcGljLmRqYW5nby43MTEuYzIifQ&amp;_nc_ht=instagram.fcgh5-1.fna.fbcdn.net&amp;_nc_cat=105&amp;_nc_oc=Q6cZ2gHwIVRiI2tVMLzqHtKaJxD2oBDzvBcl84_nPtMumXDZ4YhUNPm1VSOfZV9UO5hutWuH2oi2BvCEyeXhFrFaUG5Q&amp;_nc_ohc=5IIFIUNs1_4Q7kNvwGfx9rE&amp;_nc_gid=yXsUS2XfQKVAw9kQeJVM5w&amp;edm=AI-cjbYBAAAA&amp;ccb=7-5&amp;oh=00_Af3d8HfnnHmjtaO_azdEnOvkEMWgRMBFp47hCQAFS0j6ww&amp;oe=69D8FE46&amp;_nc_sid=0985b0</t>
  </si>
  <si>
    <t>dronemidia</t>
  </si>
  <si>
    <t>19/11/2016, 00:09:54</t>
  </si>
  <si>
    <t>https://www.instagram.com/dronemidia</t>
  </si>
  <si>
    <t>https://instagram.fcgh5-1.fna.fbcdn.net/v/t51.82787-19/539958576_18530336854009307_7932592686641250797_n.jpg?stp=dst-jpg_s150x150_tt6&amp;efg=eyJ2ZW5jb2RlX3RhZyI6InByb2ZpbGVfcGljLmRqYW5nby4xMDgwLmMyIn0&amp;_nc_ht=instagram.fcgh5-1.fna.fbcdn.net&amp;_nc_cat=111&amp;_nc_oc=Q6cZ2gHwIVRiI2tVMLzqHtKaJxD2oBDzvBcl84_nPtMumXDZ4YhUNPm1VSOfZV9UO5hutWuH2oi2BvCEyeXhFrFaUG5Q&amp;_nc_ohc=jpbOayaaBvEQ7kNvwG_cz4e&amp;_nc_gid=yXsUS2XfQKVAw9kQeJVM5w&amp;edm=AI-cjbYBAAAA&amp;ccb=7-5&amp;oh=00_Af0VrlfLD31i3Dwjzoj2vSn4fX83tvPD3BMQ56EUNwmYXA&amp;oe=69D906AE&amp;_nc_sid=0985b0</t>
  </si>
  <si>
    <t>thebestairplane</t>
  </si>
  <si>
    <t>24/11/2016, 01:09:12</t>
  </si>
  <si>
    <t>https://www.instagram.com/thebestairplane</t>
  </si>
  <si>
    <t>https://instagram.fcgh5-2.fna.fbcdn.net/v/t51.2885-19/39256762_1875188009228628_137202030191050752_n.jpg?stp=dst-jpg_s150x150_tt6&amp;efg=eyJ2ZW5jb2RlX3RhZyI6InByb2ZpbGVfcGljLmRqYW5nby4xNTAuYzIifQ&amp;_nc_ht=instagram.fcgh5-2.fna.fbcdn.net&amp;_nc_cat=100&amp;_nc_oc=Q6cZ2gHwIVRiI2tVMLzqHtKaJxD2oBDzvBcl84_nPtMumXDZ4YhUNPm1VSOfZV9UO5hutWuH2oi2BvCEyeXhFrFaUG5Q&amp;_nc_ohc=cJqjNG99HfQQ7kNvwEU_4zL&amp;_nc_gid=yXsUS2XfQKVAw9kQeJVM5w&amp;edm=AI-cjbYBAAAA&amp;ccb=7-5&amp;oh=00_Af2fm0ep8nOzkOduNjm7UCftsuiJmOJ3WtAdypDJX-aZmQ&amp;oe=69D8EF55&amp;_nc_sid=0985b0</t>
  </si>
  <si>
    <t>tintasaltezza</t>
  </si>
  <si>
    <t>24/11/2016, 17:20:17</t>
  </si>
  <si>
    <t>https://www.instagram.com/tintasaltezza</t>
  </si>
  <si>
    <t>https://instagram.fcgh5-2.fna.fbcdn.net/v/t51.2885-19/405524346_1070777847279090_2267736566533079204_n.jpg?stp=dst-jpg_s150x150_tt6&amp;efg=eyJ2ZW5jb2RlX3RhZyI6InByb2ZpbGVfcGljLmRqYW5nby4xMDgwLmMyIn0&amp;_nc_ht=instagram.fcgh5-2.fna.fbcdn.net&amp;_nc_cat=106&amp;_nc_oc=Q6cZ2gHwIVRiI2tVMLzqHtKaJxD2oBDzvBcl84_nPtMumXDZ4YhUNPm1VSOfZV9UO5hutWuH2oi2BvCEyeXhFrFaUG5Q&amp;_nc_ohc=tD_EIfgHWPgQ7kNvwHpJeY9&amp;_nc_gid=yXsUS2XfQKVAw9kQeJVM5w&amp;edm=AI-cjbYBAAAA&amp;ccb=7-5&amp;oh=00_Af0sTVEzTUxujerFa0sx8-9JfjzuvUZYnEJ1ak89S7Jl7A&amp;oe=69D8F6F7&amp;_nc_sid=0985b0</t>
  </si>
  <si>
    <t>18/11/2016, 12:44:43</t>
  </si>
  <si>
    <t>https://instagram.fcgh5-1.fna.fbcdn.net/v/t51.2885-19/326240125_3406074579682253_7888194425289595107_n.jpg?stp=dst-jpg_s150x150_tt6&amp;efg=eyJ2ZW5jb2RlX3RhZyI6InByb2ZpbGVfcGljLmRqYW5nby43MTEuYzIifQ&amp;_nc_ht=instagram.fcgh5-1.fna.fbcdn.net&amp;_nc_cat=105&amp;_nc_oc=Q6cZ2gEhADpXErCotAtqGYttlrsdqxle5P69ZjxgRvtxLTy7N5OafSQ4KrgmL5P0_HVAluHoUuGboAQf5pIx4cFE9ZJM&amp;_nc_ohc=5IIFIUNs1_4Q7kNvwGfx9rE&amp;_nc_gid=b0Hx3K5LFbBQx1jJMH9DuA&amp;edm=AI-cjbYBAAAA&amp;ccb=7-5&amp;oh=00_Af1RQu2BcckAFkm8-iTjU2IYQntfV-exdk5mnb9FjXnGnQ&amp;oe=69D8FE46&amp;_nc_sid=0985b0</t>
  </si>
  <si>
    <t>vemcooperar</t>
  </si>
  <si>
    <t>👍👍😀..</t>
  </si>
  <si>
    <t>19/11/2016, 08:41:30</t>
  </si>
  <si>
    <t>https://www.instagram.com/vemcooperar</t>
  </si>
  <si>
    <t>https://instagram.fcgh5-1.fna.fbcdn.net/v/t51.2885-19/14448279_354618271545671_8740980646110822400_a.jpg?stp=dst-jpg_s150x150_tt6&amp;efg=eyJ2ZW5jb2RlX3RhZyI6InByb2ZpbGVfcGljLmRqYW5nby4zNzguYzIifQ&amp;_nc_ht=instagram.fcgh5-1.fna.fbcdn.net&amp;_nc_cat=111&amp;_nc_oc=Q6cZ2gEhADpXErCotAtqGYttlrsdqxle5P69ZjxgRvtxLTy7N5OafSQ4KrgmL5P0_HVAluHoUuGboAQf5pIx4cFE9ZJM&amp;_nc_ohc=e1YQLWlpmkgQ7kNvwF-ehpr&amp;_nc_gid=b0Hx3K5LFbBQx1jJMH9DuA&amp;edm=AI-cjbYBAAAA&amp;ccb=7-5&amp;oh=00_Af3dbYDGK0eUEdYNKJERsTYh19ZtdGgvfgTLD-7HCMNdWw&amp;oe=69D90E6C&amp;_nc_sid=0985b0</t>
  </si>
  <si>
    <t>mrwillfuller</t>
  </si>
  <si>
    <t>15/12/2016, 12:04:44</t>
  </si>
  <si>
    <t>https://www.instagram.com/mrwillfuller</t>
  </si>
  <si>
    <t>https://instagram.fcgh5-2.fna.fbcdn.net/v/t51.2885-19/440915621_439365295407484_4690802205288220316_n.jpg?stp=dst-jpg_s150x150_tt6&amp;efg=eyJ2ZW5jb2RlX3RhZyI6InByb2ZpbGVfcGljLmRqYW5nby4xMDgwLmMyIn0&amp;_nc_ht=instagram.fcgh5-2.fna.fbcdn.net&amp;_nc_cat=104&amp;_nc_oc=Q6cZ2gESxJh27uTg_qIWW20s08_x1FwutaRneBHi7OI3DzvQGpTd-7BtnzH2M8-EfVSblkWamosIzb71dCptPt1Oo-9e&amp;_nc_ohc=P8tRtpTeyocQ7kNvwH9_M9V&amp;_nc_gid=chB01o9OPHHrFwY-8NTJvQ&amp;edm=AI-cjbYBAAAA&amp;ccb=7-5&amp;oh=00_Af2BIecovShAlwa4oBWaQlUMF49fXpleVJyJb4zJJuXwmQ&amp;oe=69D8FA8D&amp;_nc_sid=0985b0</t>
  </si>
  <si>
    <t>travel_fred</t>
  </si>
  <si>
    <t>That's cool! 🙌🏻</t>
  </si>
  <si>
    <t>01/12/2016, 00:27:39</t>
  </si>
  <si>
    <t>https://www.instagram.com/travel_fred</t>
  </si>
  <si>
    <t>https://instagram.fcgh5-2.fna.fbcdn.net/v/t51.2885-19/72632328_460679684633632_5828080022908305408_n.jpg?stp=dst-jpg_s150x150_tt6&amp;efg=eyJ2ZW5jb2RlX3RhZyI6InByb2ZpbGVfcGljLmRqYW5nby4xMDgwLmMyIn0&amp;_nc_ht=instagram.fcgh5-2.fna.fbcdn.net&amp;_nc_cat=104&amp;_nc_oc=Q6cZ2gEjk-s3Dj-9ofaiayWL7v2wlAUFWsfpWVBG93zHBFyrZRVUippusfuDkKld_LX7haFSF1oxJg03_DJAzxmUg-v4&amp;_nc_ohc=ydq4T8Q9rWwQ7kNvwHn8grH&amp;_nc_gid=VayA-tCQ5gq_Vnx9RVsA7Q&amp;edm=AI-cjbYBAAAA&amp;ccb=7-5&amp;oh=00_Af2hOgorZSTuYZrubIwU0685H7quYh3Hycm3x9EBRmDkBg&amp;oe=69D8F8B7&amp;_nc_sid=0985b0</t>
  </si>
  <si>
    <t>compreaero</t>
  </si>
  <si>
    <t>🛩!!!</t>
  </si>
  <si>
    <t>20/09/2018, 15:03:48</t>
  </si>
  <si>
    <t>https://www.instagram.com/compreaero</t>
  </si>
  <si>
    <t>https://instagram.fcgh5-1.fna.fbcdn.net/v/t51.2885-19/313884126_1149197205686450_6788078037010635255_n.jpg?stp=dst-jpg_s150x150_tt6&amp;efg=eyJ2ZW5jb2RlX3RhZyI6InByb2ZpbGVfcGljLmRqYW5nby40NzYuYzIifQ&amp;_nc_ht=instagram.fcgh5-1.fna.fbcdn.net&amp;_nc_cat=102&amp;_nc_oc=Q6cZ2gFuqEuqfIH2rPwgyvCYY_IfzdKoosBDIdBXfAepZKOtCfv2n3cpFgeTfaMYVLrALXQDpprty1fQZHbJ-LW5iGXp&amp;_nc_ohc=nWpggT-HjNsQ7kNvwHSiLqH&amp;_nc_gid=dKGqdag3Ply6H00RVxz-Hg&amp;edm=AI-cjbYBAAAA&amp;ccb=7-5&amp;oh=00_Af1X8hfFkC-M2k4FQllZfv8BRT6OmT6OtmVlEan4_UYRAQ&amp;oe=69D8DB63&amp;_nc_sid=0985b0</t>
  </si>
  <si>
    <t>https://instagram.fcgh5-1.fna.fbcdn.net/v/t51.2885-19/313884126_1149197205686450_6788078037010635255_n.jpg?stp=dst-jpg_s150x150_tt6&amp;efg=eyJ2ZW5jb2RlX3RhZyI6InByb2ZpbGVfcGljLmRqYW5nby40NzYuYzIifQ&amp;_nc_ht=instagram.fcgh5-1.fna.fbcdn.net&amp;_nc_cat=102&amp;_nc_oc=Q6cZ2gEz8pQPBmvy1i0EE-HfxVnEXDIecd9mMZQlRdap4T-w6jCiAMMEUCKLdqxL3bneUHGfujh5l3W9my_XIGE7ndOG&amp;_nc_ohc=nWpggT-HjNsQ7kNvwHSiLqH&amp;_nc_gid=iTlIjsIzqGe-uNGqZyUdBA&amp;edm=AI-cjbYBAAAA&amp;ccb=7-5&amp;oh=00_Af3HfAOiuH4la8Qq-Rjt1OqWvfzeKHTncOu-A5Shy0B_mQ&amp;oe=69D8DB63&amp;_nc_sid=0985b0</t>
  </si>
  <si>
    <t>riodejaneirotravelers</t>
  </si>
  <si>
    <t>Awesome post 😉</t>
  </si>
  <si>
    <t>16/09/2018, 14:31:57</t>
  </si>
  <si>
    <t>https://www.instagram.com/riodejaneirotravelers</t>
  </si>
  <si>
    <t>https://instagram.fcgh5-1.fna.fbcdn.net/v/t51.2885-19/81234321_545837056286294_1942792417275019264_n.jpg?stp=dst-jpg_s150x150_tt6&amp;efg=eyJ2ZW5jb2RlX3RhZyI6InByb2ZpbGVfcGljLmRqYW5nby4xMDgwLmMyIn0&amp;_nc_ht=instagram.fcgh5-1.fna.fbcdn.net&amp;_nc_cat=102&amp;_nc_oc=Q6cZ2gH60co6F5BoDcMrGumHv919stO0X06zMo9ludVGS2xwh7EelZpD4gLojFE4kAWeF5BenOMeZkB9ulHM-hE_v1gU&amp;_nc_ohc=WO9Q982BQZcQ7kNvwEp_rxE&amp;_nc_gid=S0sajzuJWZKPlHEMeOMAOQ&amp;edm=AI-cjbYBAAAA&amp;ccb=7-5&amp;oh=00_Af2XFsqoVzEV4HCGV9NQq7eI-rN1hZTchjF3eMCdnQxbDQ&amp;oe=69D8BB99&amp;_nc_sid=0985b0</t>
  </si>
  <si>
    <t>vanessamancini</t>
  </si>
  <si>
    <t>☺☺☺</t>
  </si>
  <si>
    <t>04/12/2016, 00:45:42</t>
  </si>
  <si>
    <t>https://www.instagram.com/vanessamancini</t>
  </si>
  <si>
    <t>https://instagram.fcgh5-1.fna.fbcdn.net/v/t51.2885-19/313874676_428425759469450_4525745617713249753_n.jpg?stp=dst-jpg_s150x150_tt6&amp;efg=eyJ2ZW5jb2RlX3RhZyI6InByb2ZpbGVfcGljLmRqYW5nby4xMDgwLmMyIn0&amp;_nc_ht=instagram.fcgh5-1.fna.fbcdn.net&amp;_nc_cat=102&amp;_nc_oc=Q6cZ2gHJmBRHaKi7_OmKZK31XVxqEy96y2FtqRQREFzrP1YU9wRM_gVAhOeMOEHKqVBlWUld1KcwcA9Ye0Wd_HKbuQDd&amp;_nc_ohc=ktOX8C11nRsQ7kNvwGeU-3s&amp;_nc_gid=y5STW1NGMjwlcGSSt1AbMQ&amp;edm=AI-cjbYBAAAA&amp;ccb=7-5&amp;oh=00_Af2pqslqo13-KueBFTiNAt1-3NFzDp96AXOTNQZ9r-M_UQ&amp;oe=69D8F7D0&amp;_nc_sid=0985b0</t>
  </si>
  <si>
    <t>Show</t>
  </si>
  <si>
    <t>26/11/2016, 14:22:10</t>
  </si>
  <si>
    <t>https://instagram.fcgh5-1.fna.fbcdn.net/v/t51.82787-19/629192159_18552724234054502_2673385030381474984_n.jpg?stp=dst-jpg_s150x150_tt6&amp;efg=eyJ2ZW5jb2RlX3RhZyI6InByb2ZpbGVfcGljLmRqYW5nby4xMDgwLmMyIn0&amp;_nc_ht=instagram.fcgh5-1.fna.fbcdn.net&amp;_nc_cat=102&amp;_nc_oc=Q6cZ2gE1UnFeAFWDDb2JJXHkxnG68ch0vSZ_qAzMd6TEKvjy_td-RRbeNE-RLyGpYXGfSxqZKwEwMbFzorXlfZiMiFUu&amp;_nc_ohc=G456tT05DO0Q7kNvwHWuJKr&amp;_nc_gid=HmBGJrWT11wcU98C7UNTMw&amp;edm=AI-cjbYBAAAA&amp;ccb=7-5&amp;oh=00_Af17rz_bKtQzwzl-61AL1Yt7sYk88k6AWqsOQ8z_95qGkw&amp;oe=69D90F59&amp;_nc_sid=0985b0</t>
  </si>
  <si>
    <t>https://instagram.fcgh5-1.fna.fbcdn.net/v/t51.82787-19/629192159_18552724234054502_2673385030381474984_n.jpg?stp=dst-jpg_s150x150_tt6&amp;efg=eyJ2ZW5jb2RlX3RhZyI6InByb2ZpbGVfcGljLmRqYW5nby4xMDgwLmMyIn0&amp;_nc_ht=instagram.fcgh5-1.fna.fbcdn.net&amp;_nc_cat=102&amp;_nc_oc=Q6cZ2gH2IM3hy1L_AdpHUqY8KTS_obYnZCunCLLvVCQh-zhjhtWMKhEUWmaQ6GXN_1FDZ9gHVgXoeNymG54LgkDoqGdx&amp;_nc_ohc=G456tT05DO0Q7kNvwHWuJKr&amp;_nc_gid=YDIrNH8A7oojkRixYunFGA&amp;edm=AI-cjbYBAAAA&amp;ccb=7-5&amp;oh=00_Af2HAaJv13csXovWwkzlMl6ZxQTY6Tz5DlfuijhIOrPgzg&amp;oe=69D90F59&amp;_nc_sid=0985b0</t>
  </si>
  <si>
    <t>despiswimwear</t>
  </si>
  <si>
    <t>25/11/2016, 08:27:01</t>
  </si>
  <si>
    <t>https://www.instagram.com/despiswimwear</t>
  </si>
  <si>
    <t>https://instagram.fcgh5-1.fna.fbcdn.net/v/t51.2885-19/479567773_1501156560842145_2831426933462287337_n.jpg?stp=dst-jpg_s150x150_tt6&amp;efg=eyJ2ZW5jb2RlX3RhZyI6InByb2ZpbGVfcGljLmRqYW5nby4xMDgwLmMyIn0&amp;_nc_ht=instagram.fcgh5-1.fna.fbcdn.net&amp;_nc_cat=109&amp;_nc_oc=Q6cZ2gG4fFLRPDbTAVBXyfBboBNqhJRdG6Dw62FjH_WeG_kqM8dY-dkx1uaUNOyj4tXuMMrydrw3LpGrlMQxI-dTa4bs&amp;_nc_ohc=PeGIuFZMIvYQ7kNvwGlYz3F&amp;_nc_gid=2uZ2vlC_s9knuUnWPjzo6g&amp;edm=AI-cjbYBAAAA&amp;ccb=7-5&amp;oh=00_Af34lek-ys1aBVLUjZ7EReHPWihsfLeZdwGCbpojCi7fyA&amp;oe=69D91612&amp;_nc_sid=0985b0</t>
  </si>
  <si>
    <t>wideoyster</t>
  </si>
  <si>
    <t>🎈</t>
  </si>
  <si>
    <t>26/11/2016, 19:02:27</t>
  </si>
  <si>
    <t>https://www.instagram.com/wideoyster</t>
  </si>
  <si>
    <t>https://instagram.fcgh5-1.fna.fbcdn.net/v/t51.2885-19/85225041_185371452791504_8237357363711967232_n.jpg?stp=dst-jpg_s150x150_tt6&amp;efg=eyJ2ZW5jb2RlX3RhZyI6InByb2ZpbGVfcGljLmRqYW5nby4xMDgwLmMyIn0&amp;_nc_ht=instagram.fcgh5-1.fna.fbcdn.net&amp;_nc_cat=108&amp;_nc_oc=Q6cZ2gG4fFLRPDbTAVBXyfBboBNqhJRdG6Dw62FjH_WeG_kqM8dY-dkx1uaUNOyj4tXuMMrydrw3LpGrlMQxI-dTa4bs&amp;_nc_ohc=8KfGEVtKVEcQ7kNvwGt045X&amp;_nc_gid=2uZ2vlC_s9knuUnWPjzo6g&amp;edm=AI-cjbYBAAAA&amp;ccb=7-5&amp;oh=00_Af1wDeNAnkXFNNKy-NdoarVNz5M4IBWd9CmhIqH9ELYTOA&amp;oe=69D90275&amp;_nc_sid=0985b0</t>
  </si>
  <si>
    <t>kinsushibar</t>
  </si>
  <si>
    <t>26/11/2016, 22:21:57</t>
  </si>
  <si>
    <t>https://www.instagram.com/kinsushibar</t>
  </si>
  <si>
    <t>https://instagram.fcgh5-2.fna.fbcdn.net/v/t51.82787-19/624660525_18561468742025032_4272192484010895810_n.jpg?stp=dst-jpg_s150x150_tt6&amp;efg=eyJ2ZW5jb2RlX3RhZyI6InByb2ZpbGVfcGljLmRqYW5nby4xMDI0LmMyIn0&amp;_nc_ht=instagram.fcgh5-2.fna.fbcdn.net&amp;_nc_cat=104&amp;_nc_oc=Q6cZ2gG4fFLRPDbTAVBXyfBboBNqhJRdG6Dw62FjH_WeG_kqM8dY-dkx1uaUNOyj4tXuMMrydrw3LpGrlMQxI-dTa4bs&amp;_nc_ohc=qnp8lSWq6KYQ7kNvwHzVJ73&amp;_nc_gid=2uZ2vlC_s9knuUnWPjzo6g&amp;edm=AI-cjbYBAAAA&amp;ccb=7-5&amp;oh=00_Af1rBz-R5QN3jigSIVr7tpfOy557KsDEBj6gRf-QpVZEzw&amp;oe=69D8E4B9&amp;_nc_sid=0985b0</t>
  </si>
  <si>
    <t>dellangelofood</t>
  </si>
  <si>
    <t>28/11/2016, 11:33:54</t>
  </si>
  <si>
    <t>https://www.instagram.com/dellangelofood</t>
  </si>
  <si>
    <t>https://instagram.fcuu4-1.fna.fbcdn.net/v/t51.2885-19/573323465_1219825463302212_7278921664109726296_n.png?stp=dst-webp&amp;efg=eyJ2ZW5jb2RlX3RhZyI6InByb2ZpbGVfcGljLmRqYW5nby4xNTAuYzIifQ&amp;_nc_ht=instagram.fcuu4-1.fna.fbcdn.net&amp;_nc_cat=1&amp;_nc_oc=Q6cZ2gHGBTLKVmkaKhAlqqORLZ3kYmovYHcjpZ1Agqq8Nvv0uwdmTPTQL4td36Qq_UIWr5M&amp;_nc_ohc=a8xHEXzvkAIQ7kNvwECqx_6&amp;_nc_gid=47K9U8HyHNQW4IpeLtvsHg&amp;edm=AAU6XDUBAAAA&amp;ccb=7-5&amp;ig_cache_key=YW5vbnltb3VzX3Byb2ZpbGVfcGlj.3-ccb7-5&amp;oh=00_Af2siS2_R0dj4LmVfcxVu0itfitAo1hyIYcmzPOTopkAXQ&amp;oe=69D8EAAA&amp;_nc_sid=a87d12</t>
  </si>
  <si>
    <t>Shoewwww</t>
  </si>
  <si>
    <t>05/12/2016, 18:47:59</t>
  </si>
  <si>
    <t>https://instagram.fcgh5-1.fna.fbcdn.net/v/t51.82787-19/629192159_18552724234054502_2673385030381474984_n.jpg?stp=dst-jpg_s150x150_tt6&amp;efg=eyJ2ZW5jb2RlX3RhZyI6InByb2ZpbGVfcGljLmRqYW5nby4xMDgwLmMyIn0&amp;_nc_ht=instagram.fcgh5-1.fna.fbcdn.net&amp;_nc_cat=102&amp;_nc_oc=Q6cZ2gEXFLGCCTZD0gBq61pkNfKWe9nYvB_1y5Dj-Ij7kYQD9vp4eiqp1KsADL7RpFufBCqlypGRGCAUQLEf7jWpTH7g&amp;_nc_ohc=G456tT05DO0Q7kNvwHWuJKr&amp;_nc_gid=mdG7JqC2SBgPpaQtfrsbyw&amp;edm=AI-cjbYBAAAA&amp;ccb=7-5&amp;oh=00_Af1pRz1QgY6k-aCxJG8__fEjbO5qGagNiTBxrhgyjgSU5Q&amp;oe=69D90F59&amp;_nc_sid=0985b0</t>
  </si>
  <si>
    <t>https://instagram.fcgh5-1.fna.fbcdn.net/v/t51.82787-19/629192159_18552724234054502_2673385030381474984_n.jpg?stp=dst-jpg_s150x150_tt6&amp;efg=eyJ2ZW5jb2RlX3RhZyI6InByb2ZpbGVfcGljLmRqYW5nby4xMDgwLmMyIn0&amp;_nc_ht=instagram.fcgh5-1.fna.fbcdn.net&amp;_nc_cat=102&amp;_nc_oc=Q6cZ2gGyFAJ8kZfqg5zWLDZX-jIQPfRA-XBCX3T11pD3TlYF6WsN2wTWxRyawnJAHCUvNTEMSWlYNcSXTyLKvJn0VoDp&amp;_nc_ohc=G456tT05DO0Q7kNvwHWuJKr&amp;_nc_gid=1lCw0Nf3rzpLk64JC2sQJA&amp;edm=AI-cjbYBAAAA&amp;ccb=7-5&amp;oh=00_Af1yubFSYnE0Jl7vlzjk924-tRgXAwDIlMhFP23mOAVpHA&amp;oe=69D90F59&amp;_nc_sid=0985b0</t>
  </si>
  <si>
    <t>bequili</t>
  </si>
  <si>
    <t>Una Joya 💎</t>
  </si>
  <si>
    <t>06/12/2016, 12:09:19</t>
  </si>
  <si>
    <t>https://www.instagram.com/bequili</t>
  </si>
  <si>
    <t>https://instagram.fcgh5-2.fna.fbcdn.net/v/t51.2885-19/47690102_2152764081642559_3221212801846476800_n.jpg?stp=dst-jpg_s150x150_tt6&amp;efg=eyJ2ZW5jb2RlX3RhZyI6InByb2ZpbGVfcGljLmRqYW5nby43NTAuYzIifQ&amp;_nc_ht=instagram.fcgh5-2.fna.fbcdn.net&amp;_nc_cat=107&amp;_nc_oc=Q6cZ2gGkAEylTpmx2wvGhOP4ukxnPVmFSnkFepZV1MHarpKzm-UDEpKVnjilH-A_rSNKjdPAru29aCHXkXbiRsgJFEPP&amp;_nc_ohc=PAfPz95gcT4Q7kNvwHvY2h2&amp;_nc_gid=oTM_MZ5LD4bzvHMeeD3fGQ&amp;edm=AI-cjbYBAAAA&amp;ccb=7-5&amp;oh=00_Af2WMCxYQ8JqpIyzEZX7wk3C1f_kEZZ3_yGQOGPsXIrIUA&amp;oe=69D8E91B&amp;_nc_sid=0985b0</t>
  </si>
  <si>
    <t>travellingislands</t>
  </si>
  <si>
    <t>Wow!</t>
  </si>
  <si>
    <t>10/12/2016, 04:28:07</t>
  </si>
  <si>
    <t>https://www.instagram.com/travellingislands</t>
  </si>
  <si>
    <t>https://instagram.fcgh5-1.fna.fbcdn.net/v/t51.2885-19/15625098_183810558754484_2547169138447482880_n.jpg?stp=dst-jpg_s150x150_tt6&amp;efg=eyJ2ZW5jb2RlX3RhZyI6InByb2ZpbGVfcGljLmRqYW5nby4xMDgwLmMyIn0&amp;_nc_ht=instagram.fcgh5-1.fna.fbcdn.net&amp;_nc_cat=108&amp;_nc_oc=Q6cZ2gEafeva7-N79tQS1WQNeuhVKJf8TXcOft3t4yviz-Kr2u-32DpehLSRHLybir5pU78YBSrSBewRBgD3TobLPpJ3&amp;_nc_ohc=zIEKDTI9lxUQ7kNvwGVcjWG&amp;_nc_gid=b3u-fDF5U3C_M-oh9_QA6w&amp;edm=AI-cjbYBAAAA&amp;ccb=7-5&amp;oh=00_Af0Y-GP7VlCWAItjjh-eT6Du6ay_cwhTgjMNJOrXWksGjA&amp;oe=69D8E709&amp;_nc_sid=0985b0</t>
  </si>
  <si>
    <t>_adrianabarr</t>
  </si>
  <si>
    <t>Minha Belém :) Em breve vou embarcar...</t>
  </si>
  <si>
    <t>12/09/2018, 16:28:46</t>
  </si>
  <si>
    <t>https://www.instagram.com/_adrianabarr</t>
  </si>
  <si>
    <t>https://instagram.fcgh5-2.fna.fbcdn.net/v/t51.2885-19/302438073_1512472602530059_6025108449769664143_n.jpg?stp=dst-jpg_s150x150_tt6&amp;efg=eyJ2ZW5jb2RlX3RhZyI6InByb2ZpbGVfcGljLmRqYW5nby41NzguYzIifQ&amp;_nc_ht=instagram.fcgh5-2.fna.fbcdn.net&amp;_nc_cat=107&amp;_nc_oc=Q6cZ2gF-9gafbJRSsOSdCozsBYNHT0Y-ACOSMthH9Q_eJMp0oqoS7apIC7_yZR-Wulmd-yfY75LUELyNPKIfUTFeNqZO&amp;_nc_ohc=Jiu16oHpU-sQ7kNvwH7Sy6m&amp;_nc_gid=RipLzQUZGaOxsPzGVZhuGQ&amp;edm=AI-cjbYBAAAA&amp;ccb=7-5&amp;oh=00_Af0I09bAaNdXb1giMI7r6OgZo-cyF8Z1zpPw4xnbUVEeew&amp;oe=69D8B980&amp;_nc_sid=0985b0</t>
  </si>
  <si>
    <t>girlene_galvao</t>
  </si>
  <si>
    <t>@kcac19</t>
  </si>
  <si>
    <t>16/09/2018, 08:34:41</t>
  </si>
  <si>
    <t>https://www.instagram.com/girlene_galvao</t>
  </si>
  <si>
    <t>https://instagram.fcgh5-2.fna.fbcdn.net/v/t51.82787-19/503421054_18513729733054744_6104707461559384177_n.jpg?stp=dst-jpg_s150x150_tt6&amp;efg=eyJ2ZW5jb2RlX3RhZyI6InByb2ZpbGVfcGljLmRqYW5nby4xMDgwLmMyIn0&amp;_nc_ht=instagram.fcgh5-2.fna.fbcdn.net&amp;_nc_cat=104&amp;_nc_oc=Q6cZ2gF-9gafbJRSsOSdCozsBYNHT0Y-ACOSMthH9Q_eJMp0oqoS7apIC7_yZR-Wulmd-yfY75LUELyNPKIfUTFeNqZO&amp;_nc_ohc=T9zHu8FVUUcQ7kNvwH6nls3&amp;_nc_gid=RipLzQUZGaOxsPzGVZhuGQ&amp;edm=AI-cjbYBAAAA&amp;ccb=7-5&amp;oh=00_Af1niB81_XObARnUtU5IvlIj0gQAYNbBEh_yvaCnMcWm2Q&amp;oe=69D8AC4A&amp;_nc_sid=0985b0</t>
  </si>
  <si>
    <t>16/09/2018, 14:22:09</t>
  </si>
  <si>
    <t>https://instagram.fcgh5-1.fna.fbcdn.net/v/t51.2885-19/81234321_545837056286294_1942792417275019264_n.jpg?stp=dst-jpg_s150x150_tt6&amp;efg=eyJ2ZW5jb2RlX3RhZyI6InByb2ZpbGVfcGljLmRqYW5nby4xMDgwLmMyIn0&amp;_nc_ht=instagram.fcgh5-1.fna.fbcdn.net&amp;_nc_cat=102&amp;_nc_oc=Q6cZ2gF-9gafbJRSsOSdCozsBYNHT0Y-ACOSMthH9Q_eJMp0oqoS7apIC7_yZR-Wulmd-yfY75LUELyNPKIfUTFeNqZO&amp;_nc_ohc=WO9Q982BQZcQ7kNvwEp_rxE&amp;_nc_gid=RipLzQUZGaOxsPzGVZhuGQ&amp;edm=AI-cjbYBAAAA&amp;ccb=7-5&amp;oh=00_Af1YJaTwqbB30rkflfttQAVWUewcKNtqxjOowpFm9zfMyA&amp;oe=69D8BB99&amp;_nc_sid=0985b0</t>
  </si>
  <si>
    <t>havana.explores</t>
  </si>
  <si>
    <t>05/10/2018, 15:01:38</t>
  </si>
  <si>
    <t>https://www.instagram.com/havana.explores</t>
  </si>
  <si>
    <t>https://instagram.fcgh5-1.fna.fbcdn.net/v/t51.2885-19/410107864_205878255908062_4827805909727786600_n.jpg?stp=dst-jpg_s150x150_tt6&amp;efg=eyJ2ZW5jb2RlX3RhZyI6InByb2ZpbGVfcGljLmRqYW5nby41OTEuYzIifQ&amp;_nc_ht=instagram.fcgh5-1.fna.fbcdn.net&amp;_nc_cat=110&amp;_nc_oc=Q6cZ2gF-9gafbJRSsOSdCozsBYNHT0Y-ACOSMthH9Q_eJMp0oqoS7apIC7_yZR-Wulmd-yfY75LUELyNPKIfUTFeNqZO&amp;_nc_ohc=-ONBpHbR6M8Q7kNvwGhxrAi&amp;_nc_gid=RipLzQUZGaOxsPzGVZhuGQ&amp;edm=AI-cjbYBAAAA&amp;ccb=7-5&amp;oh=00_Af2OOZGrNJIBp7qT9HTPuNiheyFiB7be89FF9D0TW8Dm9Q&amp;oe=69D8C7DC&amp;_nc_sid=0985b0</t>
  </si>
  <si>
    <t>tr4vel_junkie</t>
  </si>
  <si>
    <t>Wonderful</t>
  </si>
  <si>
    <t>29/11/2016, 04:52:16</t>
  </si>
  <si>
    <t>https://www.instagram.com/tr4vel_junkie</t>
  </si>
  <si>
    <t>https://instagram.fcgh5-2.fna.fbcdn.net/v/t51.2885-19/11931093_535165276632241_587391783_a.jpg?stp=dst-jpg_s150x150_tt6&amp;efg=eyJ2ZW5jb2RlX3RhZyI6InByb2ZpbGVfcGljLmRqYW5nby4xNTAuYzIifQ&amp;_nc_ht=instagram.fcgh5-2.fna.fbcdn.net&amp;_nc_cat=101&amp;_nc_oc=Q6cZ2gG_pzKoSiflFWekboU8vQ-idMVUv4ehquFkWqI27YYL3mhWcBT18sE_9RuGULPqTh7qgmbPEyCzCGOHZfO_EUBS&amp;_nc_ohc=d9R0YAeq4GUQ7kNvwE7Q-io&amp;_nc_gid=olQ4K_T4tVvieLF4_qP2Pg&amp;edm=AI-cjbYBAAAA&amp;ccb=7-5&amp;oh=00_Af2VgtnpUFTMDRY6tJkW_c9ZNULLanBYsmh55n9gCIe64g&amp;oe=69D8F365&amp;_nc_sid=0985b0</t>
  </si>
  <si>
    <t>https://instagram.fcgh5-2.fna.fbcdn.net/v/t51.2885-19/11931093_535165276632241_587391783_a.jpg?stp=dst-jpg_s150x150_tt6&amp;efg=eyJ2ZW5jb2RlX3RhZyI6InByb2ZpbGVfcGljLmRqYW5nby4xNTAuYzIifQ&amp;_nc_ht=instagram.fcgh5-2.fna.fbcdn.net&amp;_nc_cat=101&amp;_nc_oc=Q6cZ2gG5_fIZTcNyY-os5IUkDs9yegShxtdnWmM5MAR7tPxyi9z5KSCY47aL8gyMLoekK_pRPF7JR0ugOSWCzs7DyeKk&amp;_nc_ohc=d9R0YAeq4GUQ7kNvwE7Q-io&amp;_nc_gid=FxiKGW4eCYNgSAV4ay-Pfg&amp;edm=AI-cjbYBAAAA&amp;ccb=7-5&amp;oh=00_Af3jQG_iNW5rMIrM9nISR7IM-93f7kGTTpMn4KYpBf5j9A&amp;oe=69D8F365&amp;_nc_sid=0985b0</t>
  </si>
  <si>
    <t>mamabarbieri</t>
  </si>
  <si>
    <t>😍😍</t>
  </si>
  <si>
    <t>04/01/2017, 17:41:49</t>
  </si>
  <si>
    <t>https://www.instagram.com/mamabarbieri</t>
  </si>
  <si>
    <t>https://instagram.fcgh5-2.fna.fbcdn.net/v/t51.2885-19/132958402_146938883637264_2643636646524653509_n.jpg?stp=dst-jpg_s150x150_tt6&amp;efg=eyJ2ZW5jb2RlX3RhZyI6InByb2ZpbGVfcGljLmRqYW5nby4xMDgwLmMyIn0&amp;_nc_ht=instagram.fcgh5-2.fna.fbcdn.net&amp;_nc_cat=100&amp;_nc_oc=Q6cZ2gHhLl0j-zVku0viASOl88_L08XzWm4zNCzMA-k5ShEUSmKanoa3miZxGun5NGyO3sKbi-wTXgktIQBAr2DeYUyb&amp;_nc_ohc=Ro3yAe5dMlgQ7kNvwHuhbU8&amp;_nc_gid=hnXgy3boZha_VXIS9ox4MQ&amp;edm=AI-cjbYBAAAA&amp;ccb=7-5&amp;oh=00_Af0FxyNWrwl4DLMSo_b_yYmS8yts-JRMsWlM1aghJ6Niww&amp;oe=69D8F9D6&amp;_nc_sid=0985b0</t>
  </si>
  <si>
    <t>sgssc</t>
  </si>
  <si>
    <t>05/01/2017, 05:06:17</t>
  </si>
  <si>
    <t>https://www.instagram.com/sgssc</t>
  </si>
  <si>
    <t>https://instagram.fcgh5-1.fna.fbcdn.net/v/t51.2885-19/11351835_515161691972410_1299828862_a.jpg?stp=dst-jpg_s150x150_tt6&amp;efg=eyJ2ZW5jb2RlX3RhZyI6InByb2ZpbGVfcGljLmRqYW5nby42MzAuYzIifQ&amp;_nc_ht=instagram.fcgh5-1.fna.fbcdn.net&amp;_nc_cat=110&amp;_nc_oc=Q6cZ2gHhLl0j-zVku0viASOl88_L08XzWm4zNCzMA-k5ShEUSmKanoa3miZxGun5NGyO3sKbi-wTXgktIQBAr2DeYUyb&amp;_nc_ohc=7H_bblTVTZoQ7kNvwF4wS3j&amp;_nc_gid=hnXgy3boZha_VXIS9ox4MQ&amp;edm=AI-cjbYBAAAA&amp;ccb=7-5&amp;oh=00_Af04rjvke2A06UokHyYgaTeElSVARDCS9byXntw_5-czRg&amp;oe=69D8DA04&amp;_nc_sid=0985b0</t>
  </si>
  <si>
    <t>happinessisthenewstyle</t>
  </si>
  <si>
    <t>Good shot!</t>
  </si>
  <si>
    <t>05/01/2017, 12:06:45</t>
  </si>
  <si>
    <t>https://www.instagram.com/happinessisthenewstyle</t>
  </si>
  <si>
    <t>https://instagram.fcgh5-1.fna.fbcdn.net/v/t51.82787-19/611628756_18550181575034711_1489509626019294099_n.jpg?stp=dst-jpg_s150x150_tt6&amp;efg=eyJ2ZW5jb2RlX3RhZyI6InByb2ZpbGVfcGljLmRqYW5nby4xMDgwLmMyIn0&amp;_nc_ht=instagram.fcgh5-1.fna.fbcdn.net&amp;_nc_cat=111&amp;_nc_oc=Q6cZ2gHhLl0j-zVku0viASOl88_L08XzWm4zNCzMA-k5ShEUSmKanoa3miZxGun5NGyO3sKbi-wTXgktIQBAr2DeYUyb&amp;_nc_ohc=W9Au84ycbW8Q7kNvwHHKTOZ&amp;_nc_gid=hnXgy3boZha_VXIS9ox4MQ&amp;edm=AI-cjbYBAAAA&amp;ccb=7-5&amp;oh=00_Af05PhxR2zYJ3iYE89BLZ83hJLgKfowc_Iq22rEv6R49ew&amp;oe=69D8DC08&amp;_nc_sid=0985b0</t>
  </si>
  <si>
    <t>costa_hollywood_beach_resort</t>
  </si>
  <si>
    <t>Magnificent 😃</t>
  </si>
  <si>
    <t>05/01/2017, 15:07:04</t>
  </si>
  <si>
    <t>https://www.instagram.com/costa_hollywood_beach_resort</t>
  </si>
  <si>
    <t>https://instagram.fcgh5-1.fna.fbcdn.net/v/t51.82787-19/572416620_18537357799036283_7779497416125958533_n.jpg?stp=dst-jpg_s150x150_tt6&amp;efg=eyJ2ZW5jb2RlX3RhZyI6InByb2ZpbGVfcGljLmRqYW5nby45NTYuYzIifQ&amp;_nc_ht=instagram.fcgh5-1.fna.fbcdn.net&amp;_nc_cat=111&amp;_nc_oc=Q6cZ2gHhLl0j-zVku0viASOl88_L08XzWm4zNCzMA-k5ShEUSmKanoa3miZxGun5NGyO3sKbi-wTXgktIQBAr2DeYUyb&amp;_nc_ohc=reP7Tya27A8Q7kNvwEuhJlX&amp;_nc_gid=hnXgy3boZha_VXIS9ox4MQ&amp;edm=AI-cjbYBAAAA&amp;ccb=7-5&amp;oh=00_Af2q1OtwGx2y30j4dQdHSJVrviSHiCZgX8_O4Q244HXfdg&amp;oe=69D8FED8&amp;_nc_sid=0985b0</t>
  </si>
  <si>
    <t>ritualebelezaeestetica</t>
  </si>
  <si>
    <t>👍👍👍👍</t>
  </si>
  <si>
    <t>06/01/2017, 08:53:51</t>
  </si>
  <si>
    <t>https://www.instagram.com/ritualebelezaeestetica</t>
  </si>
  <si>
    <t>https://instagram.fcgh5-1.fna.fbcdn.net/v/t51.2885-19/485863618_645241684807940_2982137338783501520_n.jpg?stp=dst-jpg_s150x150_tt6&amp;efg=eyJ2ZW5jb2RlX3RhZyI6InByb2ZpbGVfcGljLmRqYW5nby43MjAuYzIifQ&amp;_nc_ht=instagram.fcgh5-1.fna.fbcdn.net&amp;_nc_cat=108&amp;_nc_oc=Q6cZ2gHhLl0j-zVku0viASOl88_L08XzWm4zNCzMA-k5ShEUSmKanoa3miZxGun5NGyO3sKbi-wTXgktIQBAr2DeYUyb&amp;_nc_ohc=Epp3DGhe80oQ7kNvwG9jmeC&amp;_nc_gid=hnXgy3boZha_VXIS9ox4MQ&amp;edm=AI-cjbYBAAAA&amp;ccb=7-5&amp;oh=00_Af0lKcAkQEz-ihK6c33IY71ZXnUEceTN48Ybnce_8TO-uA&amp;oe=69D8F9E2&amp;_nc_sid=0985b0</t>
  </si>
  <si>
    <t>https://instagram.fcgh5-2.fna.fbcdn.net/v/t51.2885-19/132958402_146938883637264_2643636646524653509_n.jpg?stp=dst-jpg_s150x150_tt6&amp;efg=eyJ2ZW5jb2RlX3RhZyI6InByb2ZpbGVfcGljLmRqYW5nby4xMDgwLmMyIn0&amp;_nc_ht=instagram.fcgh5-2.fna.fbcdn.net&amp;_nc_cat=100&amp;_nc_oc=Q6cZ2gEQWVr_XzV5Kl77eaPIEJZgKluTSUfot8Dz7UxoNFfwFINa6XLg7vF_-9fztggxxDc0jigdYLH74m_zys7RMy9s&amp;_nc_ohc=Ro3yAe5dMlgQ7kNvwHuhbU8&amp;_nc_gid=HCX3XkZpdiF5wNIyQmphqA&amp;edm=AI-cjbYBAAAA&amp;ccb=7-5&amp;oh=00_Af3Gi4O1_O_AVelUkAq1oDYgjzYu2-cnxOw6eQ6FRc9N9g&amp;oe=69D8F9D6&amp;_nc_sid=0985b0</t>
  </si>
  <si>
    <t>https://instagram.fcgh5-1.fna.fbcdn.net/v/t51.2885-19/11351835_515161691972410_1299828862_a.jpg?stp=dst-jpg_s150x150_tt6&amp;efg=eyJ2ZW5jb2RlX3RhZyI6InByb2ZpbGVfcGljLmRqYW5nby42MzAuYzIifQ&amp;_nc_ht=instagram.fcgh5-1.fna.fbcdn.net&amp;_nc_cat=110&amp;_nc_oc=Q6cZ2gEQWVr_XzV5Kl77eaPIEJZgKluTSUfot8Dz7UxoNFfwFINa6XLg7vF_-9fztggxxDc0jigdYLH74m_zys7RMy9s&amp;_nc_ohc=7H_bblTVTZoQ7kNvwF4wS3j&amp;_nc_gid=HCX3XkZpdiF5wNIyQmphqA&amp;edm=AI-cjbYBAAAA&amp;ccb=7-5&amp;oh=00_Af34wbtpfQvWyi3ln29JVTsPOY4JBLkZSr6tJI9DCdYA5g&amp;oe=69D8DA04&amp;_nc_sid=0985b0</t>
  </si>
  <si>
    <t>https://instagram.fcgh5-1.fna.fbcdn.net/v/t51.82787-19/611628756_18550181575034711_1489509626019294099_n.jpg?stp=dst-jpg_s150x150_tt6&amp;efg=eyJ2ZW5jb2RlX3RhZyI6InByb2ZpbGVfcGljLmRqYW5nby4xMDgwLmMyIn0&amp;_nc_ht=instagram.fcgh5-1.fna.fbcdn.net&amp;_nc_cat=111&amp;_nc_oc=Q6cZ2gEQWVr_XzV5Kl77eaPIEJZgKluTSUfot8Dz7UxoNFfwFINa6XLg7vF_-9fztggxxDc0jigdYLH74m_zys7RMy9s&amp;_nc_ohc=W9Au84ycbW8Q7kNvwHHKTOZ&amp;_nc_gid=HCX3XkZpdiF5wNIyQmphqA&amp;edm=AI-cjbYBAAAA&amp;ccb=7-5&amp;oh=00_Af3qk2AVspKCC0gtRLYRha9zcHSSv_cTtZdX-TAPiTAXJw&amp;oe=69D8DC08&amp;_nc_sid=0985b0</t>
  </si>
  <si>
    <t>https://instagram.fcgh5-1.fna.fbcdn.net/v/t51.82787-19/572416620_18537357799036283_7779497416125958533_n.jpg?stp=dst-jpg_s150x150_tt6&amp;efg=eyJ2ZW5jb2RlX3RhZyI6InByb2ZpbGVfcGljLmRqYW5nby45NTYuYzIifQ&amp;_nc_ht=instagram.fcgh5-1.fna.fbcdn.net&amp;_nc_cat=111&amp;_nc_oc=Q6cZ2gEQWVr_XzV5Kl77eaPIEJZgKluTSUfot8Dz7UxoNFfwFINa6XLg7vF_-9fztggxxDc0jigdYLH74m_zys7RMy9s&amp;_nc_ohc=reP7Tya27A8Q7kNvwEuhJlX&amp;_nc_gid=HCX3XkZpdiF5wNIyQmphqA&amp;edm=AI-cjbYBAAAA&amp;ccb=7-5&amp;oh=00_Af2b4WhG9EmmrF2mHbckzsSkyCdD-U41w6Ltshj3hvPdEA&amp;oe=69D8FED8&amp;_nc_sid=0985b0</t>
  </si>
  <si>
    <t>https://instagram.fcgh5-1.fna.fbcdn.net/v/t51.2885-19/485863618_645241684807940_2982137338783501520_n.jpg?stp=dst-jpg_s150x150_tt6&amp;efg=eyJ2ZW5jb2RlX3RhZyI6InByb2ZpbGVfcGljLmRqYW5nby43MjAuYzIifQ&amp;_nc_ht=instagram.fcgh5-1.fna.fbcdn.net&amp;_nc_cat=108&amp;_nc_oc=Q6cZ2gEQWVr_XzV5Kl77eaPIEJZgKluTSUfot8Dz7UxoNFfwFINa6XLg7vF_-9fztggxxDc0jigdYLH74m_zys7RMy9s&amp;_nc_ohc=Epp3DGhe80oQ7kNvwG9jmeC&amp;_nc_gid=HCX3XkZpdiF5wNIyQmphqA&amp;edm=AI-cjbYBAAAA&amp;ccb=7-5&amp;oh=00_Af2_VGCaNgsclEXXxe4T_6vDnYb8VPfAlmPzkSYDo_lMGQ&amp;oe=69D8F9E2&amp;_nc_sid=0985b0</t>
  </si>
  <si>
    <t>victoriamarshall.realestate</t>
  </si>
  <si>
    <t>Wow! #greatshot 👍👍👍We offer private concierge services, travel management and flights, please follow if interested! Or check out our website www.royalpremiergroup.com thanks!!</t>
  </si>
  <si>
    <t>07/01/2017, 01:59:37</t>
  </si>
  <si>
    <t>https://www.instagram.com/victoriamarshall.realestate</t>
  </si>
  <si>
    <t>https://instagram.fcgh5-1.fna.fbcdn.net/v/t51.2885-19/439858588_1482070215852575_3312163722963588750_n.jpg?stp=dst-jpg_s150x150_tt6&amp;efg=eyJ2ZW5jb2RlX3RhZyI6InByb2ZpbGVfcGljLmRqYW5nby45NjguYzIifQ&amp;_nc_ht=instagram.fcgh5-1.fna.fbcdn.net&amp;_nc_cat=111&amp;_nc_oc=Q6cZ2gF31WhIjXAzUX_9FU0_fIOuQyvv7bv43-AocX-N_gZy9D9GNYwGQB6DohE-nvk-odCrfccWe62soys7-Iv6DsSq&amp;_nc_ohc=n6lAGwwGWT4Q7kNvwHPY3m7&amp;_nc_gid=3_1br1uJnpsXu47zrK48xg&amp;edm=AI-cjbYBAAAA&amp;ccb=7-5&amp;oh=00_Af02dRwCAl5cu9dFp4jg1zu_h9AqADabu2v8wD3w5zR8LQ&amp;oe=69D9003F&amp;_nc_sid=0985b0</t>
  </si>
  <si>
    <t>https://instagram.fcgh5-1.fna.fbcdn.net/v/t51.2885-19/439858588_1482070215852575_3312163722963588750_n.jpg?stp=dst-jpg_s150x150_tt6&amp;efg=eyJ2ZW5jb2RlX3RhZyI6InByb2ZpbGVfcGljLmRqYW5nby45NjguYzIifQ&amp;_nc_ht=instagram.fcgh5-1.fna.fbcdn.net&amp;_nc_cat=111&amp;_nc_oc=Q6cZ2gGByMG5uqpEa08sQtgxx1-u1STpvvk5KRX0dKlFBUbFHv8ZmgBfEIUb_CnbRmQDOAPWSxjdLvUHBRwo1AFvmqCT&amp;_nc_ohc=n6lAGwwGWT4Q7kNvwHPY3m7&amp;_nc_gid=-f8_AgaMozZo4u_XlAwK8Q&amp;edm=AI-cjbYBAAAA&amp;ccb=7-5&amp;oh=00_Af0daViU4y5neZ2A4hOGjlQiw0Z3LFxczYZNoYHC_Sjo-w&amp;oe=69D9003F&amp;_nc_sid=0985b0</t>
  </si>
  <si>
    <t>luizsemen1</t>
  </si>
  <si>
    <t>10/01/2017, 15:04:24</t>
  </si>
  <si>
    <t>https://www.instagram.com/luizsemen1</t>
  </si>
  <si>
    <t>https://instagram.fcgh5-1.fna.fbcdn.net/v/t51.2885-19/352318994_799302765130785_4333823797537973414_n.jpg?stp=dst-jpg_s150x150_tt6&amp;efg=eyJ2ZW5jb2RlX3RhZyI6InByb2ZpbGVfcGljLmRqYW5nby4xMDc3LmMyIn0&amp;_nc_ht=instagram.fcgh5-1.fna.fbcdn.net&amp;_nc_cat=109&amp;_nc_oc=Q6cZ2gHzdNuJYM9xBrVe4vznCle_0dp-zWz_oWYxoNqRuHTITTpdhznjjH53g2OcwBZyjHuEFaywqHymIzALHue5EtK8&amp;_nc_ohc=Y5NieHeeCQ8Q7kNvwFlfolu&amp;_nc_gid=MPRqe0YLRrXVXnlhWZqv1Q&amp;edm=AI-cjbYBAAAA&amp;ccb=7-5&amp;oh=00_Af1X3311BXXWUH86ZHsDKuLkfBhEUv5Dja53yigB5D92Fw&amp;oe=69D8F0CF&amp;_nc_sid=0985b0</t>
  </si>
  <si>
    <t>great shot</t>
  </si>
  <si>
    <t>05/10/2018, 14:53:20</t>
  </si>
  <si>
    <t>https://instagram.fcgh5-1.fna.fbcdn.net/v/t51.2885-19/410107864_205878255908062_4827805909727786600_n.jpg?stp=dst-jpg_s150x150_tt6&amp;efg=eyJ2ZW5jb2RlX3RhZyI6InByb2ZpbGVfcGljLmRqYW5nby41OTEuYzIifQ&amp;_nc_ht=instagram.fcgh5-1.fna.fbcdn.net&amp;_nc_cat=110&amp;_nc_oc=Q6cZ2gFLJkTksgmZnWMbeusM_oPbD0dxpeAfJdpfm_d7w7JxTO_lNro8xhebvL3iJdpclN4aghdltf79zFsaDSFVW78L&amp;_nc_ohc=-ONBpHbR6M8Q7kNvwGhxrAi&amp;_nc_gid=7NNy_ABbzwc_PK99OBQsHA&amp;edm=AI-cjbYBAAAA&amp;ccb=7-5&amp;oh=00_Af2WQQThRx0wc3dJwdlrxpfXrFd_7OX_mdyWe_yx9AU9Zw&amp;oe=69D8C7DC&amp;_nc_sid=0985b0</t>
  </si>
  <si>
    <t>rachelkulchin</t>
  </si>
  <si>
    <t>17/12/2016, 20:00:18</t>
  </si>
  <si>
    <t>https://www.instagram.com/rachelkulchin</t>
  </si>
  <si>
    <t>https://instagram.fcgh5-1.fna.fbcdn.net/v/t51.2885-19/326385588_221693127098025_2303672956708501880_n.jpg?stp=dst-jpg_s150x150_tt6&amp;efg=eyJ2ZW5jb2RlX3RhZyI6InByb2ZpbGVfcGljLmRqYW5nby4xMDgwLmMyIn0&amp;_nc_ht=instagram.fcgh5-1.fna.fbcdn.net&amp;_nc_cat=109&amp;_nc_oc=Q6cZ2gG-GK9O_fUsGNihF-nuu_aG_gY673ncMjP9Yu3OgQLolmBohJ_7kfeldKPDTsOeSZceO6GBstEd07cO9lpiPocf&amp;_nc_ohc=0MdtoE1DBJcQ7kNvwEBBPDI&amp;_nc_gid=Dhs_vN1VhvU_onHzjxEGIw&amp;edm=AI-cjbYBAAAA&amp;ccb=7-5&amp;oh=00_Af30kIOUxGarDV9TaEE1zp8UiPOWOObTNBuNloIiZchgJw&amp;oe=69D8E0F4&amp;_nc_sid=0985b0</t>
  </si>
  <si>
    <t>coinentourage</t>
  </si>
  <si>
    <t>Keep doing your thing 👊🏽 You're a true visionary 🙌🏽</t>
  </si>
  <si>
    <t>19/12/2016, 11:50:27</t>
  </si>
  <si>
    <t>https://www.instagram.com/coinentourage</t>
  </si>
  <si>
    <t>https://instagram.fcgh5-2.fna.fbcdn.net/v/t51.2885-19/14072948_1643119706018364_1862559359_a.jpg?stp=dst-jpg_s150x150_tt6&amp;efg=eyJ2ZW5jb2RlX3RhZyI6InByb2ZpbGVfcGljLmRqYW5nby4zNTkuYzIifQ&amp;_nc_ht=instagram.fcgh5-2.fna.fbcdn.net&amp;_nc_cat=100&amp;_nc_oc=Q6cZ2gG-GK9O_fUsGNihF-nuu_aG_gY673ncMjP9Yu3OgQLolmBohJ_7kfeldKPDTsOeSZceO6GBstEd07cO9lpiPocf&amp;_nc_ohc=5O4TlZ_402UQ7kNvwG-V7bx&amp;_nc_gid=Dhs_vN1VhvU_onHzjxEGIw&amp;edm=AI-cjbYBAAAA&amp;ccb=7-5&amp;oh=00_Af3Sc2pU-QyVmP5nhXjrwhmOG67wXlzTLZrCkhn1x6KOSg&amp;oe=69D8E0EA&amp;_nc_sid=0985b0</t>
  </si>
  <si>
    <t>useclothis</t>
  </si>
  <si>
    <t>Que massa! ✌ .</t>
  </si>
  <si>
    <t>27/12/2016, 22:03:57</t>
  </si>
  <si>
    <t>https://www.instagram.com/useclothis</t>
  </si>
  <si>
    <t>https://instagram.fcgh5-1.fna.fbcdn.net/v/t51.2885-19/59892501_1581382465331972_2901760135166689280_n.jpg?stp=dst-jpg_s150x150_tt6&amp;efg=eyJ2ZW5jb2RlX3RhZyI6InByb2ZpbGVfcGljLmRqYW5nby4xOTYuYzIifQ&amp;_nc_ht=instagram.fcgh5-1.fna.fbcdn.net&amp;_nc_cat=108&amp;_nc_oc=Q6cZ2gGYkLgz8Aae_hK7OrAmHeM3gpK-FKMBVBi9mT6dygWWOeiQMbA_qJPtHuDQSTHveEsSXY9CAI-ZM0vdMZqAIDqU&amp;_nc_ohc=3li3ib644GkQ7kNvwE09YDq&amp;_nc_gid=aw5NMZLZgMqPsZIW-z2yOg&amp;edm=AI-cjbYBAAAA&amp;ccb=7-5&amp;oh=00_Af3S56bxijiYfEUSxLK0tt2Zfm-sJqRh9BZJ5oc5hUzSDg&amp;oe=69D8ED36&amp;_nc_sid=0985b0</t>
  </si>
  <si>
    <t>https://instagram.fcgh5-1.fna.fbcdn.net/v/t51.2885-19/59892501_1581382465331972_2901760135166689280_n.jpg?stp=dst-jpg_s150x150_tt6&amp;efg=eyJ2ZW5jb2RlX3RhZyI6InByb2ZpbGVfcGljLmRqYW5nby4xOTYuYzIifQ&amp;_nc_ht=instagram.fcgh5-1.fna.fbcdn.net&amp;_nc_cat=108&amp;_nc_oc=Q6cZ2gGN62_LZF-MBvJZfxpP4QP8ImEjTADHIdy-5PuEGFOsrUBOqgQjejCiYsY2PSJxoi7qhYnYqYCkiIB-sdZPGF1n&amp;_nc_ohc=3li3ib644GkQ7kNvwE09YDq&amp;_nc_gid=37ryzF31oquWNe_XKknGYw&amp;edm=AI-cjbYBAAAA&amp;ccb=7-5&amp;oh=00_Af2AzWsJ-OzaVw87Kx2cntWcHVoCtCiolBuscijE7W5zpw&amp;oe=69D8ED36&amp;_nc_sid=0985b0</t>
  </si>
  <si>
    <t>hidekifotoefilme</t>
  </si>
  <si>
    <t>Entre no nosso Ig e fique por dentro das promoções :))</t>
  </si>
  <si>
    <t>28/12/2016, 19:33:14</t>
  </si>
  <si>
    <t>https://www.instagram.com/hidekifotoefilme</t>
  </si>
  <si>
    <t>https://instagram.fcgh5-1.fna.fbcdn.net/v/t51.2885-19/332551248_734730964921869_1919216629075742185_n.jpg?stp=dst-jpg_s150x150_tt6&amp;efg=eyJ2ZW5jb2RlX3RhZyI6InByb2ZpbGVfcGljLmRqYW5nby4xMDgwLmMyIn0&amp;_nc_ht=instagram.fcgh5-1.fna.fbcdn.net&amp;_nc_cat=109&amp;_nc_oc=Q6cZ2gFY63amavAfOyWjZc6CiRr3cXrwtm4FIvrRdFJMVEuS5wKgJrWut2AKlhxzf4JWKLJBSPS7jws6o5FRVoUA1hdZ&amp;_nc_ohc=C-64qn1gBN8Q7kNvwGm9W5j&amp;_nc_gid=n4Pm8iXY7OHWNwvB4RzUeg&amp;edm=AI-cjbYBAAAA&amp;ccb=7-5&amp;oh=00_Af3SRVIe_Cike-mBLL_2PCPyleNucmOwgop4-h7JVO9bIg&amp;oe=69D90725&amp;_nc_sid=0985b0</t>
  </si>
  <si>
    <t>planetabahia</t>
  </si>
  <si>
    <t>29/12/2016, 18:44:26</t>
  </si>
  <si>
    <t>https://www.instagram.com/planetabahia</t>
  </si>
  <si>
    <t>https://instagram.fcgh5-2.fna.fbcdn.net/v/t51.2885-19/27580399_342222132850443_1235948526723137536_n.jpg?stp=dst-jpg_s150x150_tt6&amp;efg=eyJ2ZW5jb2RlX3RhZyI6InByb2ZpbGVfcGljLmRqYW5nby40ODMuYzIifQ&amp;_nc_ht=instagram.fcgh5-2.fna.fbcdn.net&amp;_nc_cat=103&amp;_nc_oc=Q6cZ2gFwqDIOE2yKwIPMyF_0Wa5B4E-zwYE3Y32jSDi6zmhK834v8TUsY3alE9yOJOh8E5j8TG6a89qvXfUJvb0Oydpk&amp;_nc_ohc=k4QAONIw0YEQ7kNvwFyNILL&amp;_nc_gid=YZwtsYIoBYJn8hvqoDHa3A&amp;edm=AI-cjbYBAAAA&amp;ccb=7-5&amp;oh=00_Af3wo2nA-egfXZjawSiUMqCWaNb1WgqGQs6c5HmjJK7m0w&amp;oe=69D8E5BE&amp;_nc_sid=0985b0</t>
  </si>
  <si>
    <t>https://instagram.fcgh5-2.fna.fbcdn.net/v/t51.2885-19/27580399_342222132850443_1235948526723137536_n.jpg?stp=dst-jpg_s150x150_tt6&amp;efg=eyJ2ZW5jb2RlX3RhZyI6InByb2ZpbGVfcGljLmRqYW5nby40ODMuYzIifQ&amp;_nc_ht=instagram.fcgh5-2.fna.fbcdn.net&amp;_nc_cat=103&amp;_nc_oc=Q6cZ2gGUr1cHt901dgbKCnQMrUMi0TVvRc2210_scN2uThxQY5LHrJ4_V_aeW9se0mrSRs4GnDkwsjDdmiCjJrC1T4ft&amp;_nc_ohc=k4QAONIw0YEQ7kNvwFyNILL&amp;_nc_gid=tH__0oVqCrdBLsEPKiaalw&amp;edm=AI-cjbYBAAAA&amp;ccb=7-5&amp;oh=00_Af15Kg4h1IeDpbFDxUU6PCnHI7FjRq9zPO7a5LO5exxFnA&amp;oe=69D8E5BE&amp;_nc_sid=0985b0</t>
  </si>
  <si>
    <t>misscopilot</t>
  </si>
  <si>
    <t>Awesome :)</t>
  </si>
  <si>
    <t>20/12/2016, 14:15:57</t>
  </si>
  <si>
    <t>https://www.instagram.com/misscopilot</t>
  </si>
  <si>
    <t>https://instagram.fcgh5-2.fna.fbcdn.net/v/t51.2885-19/12063010_525133254336037_198280879_a.jpg?stp=dst-jpg_s150x150_tt6&amp;efg=eyJ2ZW5jb2RlX3RhZyI6InByb2ZpbGVfcGljLmRqYW5nby42NDAuYzIifQ&amp;_nc_ht=instagram.fcgh5-2.fna.fbcdn.net&amp;_nc_cat=101&amp;_nc_oc=Q6cZ2gE5ht0ttv5nODDW_SPgROgqJ7ByW9MlY-1gQXSGICJRA0dvc5wqu7fXEvDMEsxIn6DXEwUcnHVRugwnoxQ3EztL&amp;_nc_ohc=ByhSEbz9t0sQ7kNvwHEPmAE&amp;_nc_gid=99GKwGbVGPEbkGXON67CdA&amp;edm=AI-cjbYBAAAA&amp;ccb=7-5&amp;oh=00_Af1WthXL4RUGY_q7O6Za9rdLQ47f7gj8XUzeQxzLwxgwbg&amp;oe=69D8E21A&amp;_nc_sid=0985b0</t>
  </si>
  <si>
    <t>magapo</t>
  </si>
  <si>
    <t>😀😀</t>
  </si>
  <si>
    <t>21/12/2016, 10:58:10</t>
  </si>
  <si>
    <t>https://www.instagram.com/magapo</t>
  </si>
  <si>
    <t>https://instagram.fcgh5-1.fna.fbcdn.net/v/t51.82787-19/540142507_18523376926035380_4983649066481670500_n.jpg?stp=dst-jpg_s150x150_tt6&amp;efg=eyJ2ZW5jb2RlX3RhZyI6InByb2ZpbGVfcGljLmRqYW5nby4xMDgwLmMyIn0&amp;_nc_ht=instagram.fcgh5-1.fna.fbcdn.net&amp;_nc_cat=108&amp;_nc_oc=Q6cZ2gE5ht0ttv5nODDW_SPgROgqJ7ByW9MlY-1gQXSGICJRA0dvc5wqu7fXEvDMEsxIn6DXEwUcnHVRugwnoxQ3EztL&amp;_nc_ohc=5CQxiyaw92oQ7kNvwGOUlht&amp;_nc_gid=99GKwGbVGPEbkGXON67CdA&amp;edm=AI-cjbYBAAAA&amp;ccb=7-5&amp;oh=00_Af3-jowChyCiLWXLRsjY735Zbuph_WA8zb1yF_kb67muww&amp;oe=69D90C3B&amp;_nc_sid=0985b0</t>
  </si>
  <si>
    <t>blogdepaysement</t>
  </si>
  <si>
    <t>💚</t>
  </si>
  <si>
    <t>22/12/2016, 16:42:41</t>
  </si>
  <si>
    <t>https://www.instagram.com/blogdepaysement</t>
  </si>
  <si>
    <t>https://instagram.fcgh5-2.fna.fbcdn.net/v/t51.2885-19/13129994_215252162200420_1963598589_a.jpg?stp=dst-jpg_s150x150_tt6&amp;efg=eyJ2ZW5jb2RlX3RhZyI6InByb2ZpbGVfcGljLmRqYW5nby4xMDgwLmMyIn0&amp;_nc_ht=instagram.fcgh5-2.fna.fbcdn.net&amp;_nc_cat=104&amp;_nc_oc=Q6cZ2gE5ht0ttv5nODDW_SPgROgqJ7ByW9MlY-1gQXSGICJRA0dvc5wqu7fXEvDMEsxIn6DXEwUcnHVRugwnoxQ3EztL&amp;_nc_ohc=BNiqwWWGd54Q7kNvwGyMEcm&amp;_nc_gid=99GKwGbVGPEbkGXON67CdA&amp;edm=AI-cjbYBAAAA&amp;ccb=7-5&amp;oh=00_Af3V8HcLPUK8E3L4Nv523pRsCtTaz0PM3NRVQz33SZJZYA&amp;oe=69D8ECA4&amp;_nc_sid=0985b0</t>
  </si>
  <si>
    <t>cocktailnomad</t>
  </si>
  <si>
    <t>This is great! We love your page.</t>
  </si>
  <si>
    <t>21/12/2016, 18:04:58</t>
  </si>
  <si>
    <t>https://www.instagram.com/cocktailnomad</t>
  </si>
  <si>
    <t>https://instagram.fcgh5-1.fna.fbcdn.net/v/t51.2885-19/13744253_1675557376100810_363472726_a.jpg?stp=dst-jpg_s150x150_tt6&amp;efg=eyJ2ZW5jb2RlX3RhZyI6InByb2ZpbGVfcGljLmRqYW5nby4xMDgwLmMyIn0&amp;_nc_ht=instagram.fcgh5-1.fna.fbcdn.net&amp;_nc_cat=102&amp;_nc_oc=Q6cZ2gHlCgDbEuCB0JlXQqJRThEQbyG06Z-iYS9A2gX5qXLlGHqPeL_Dpc8p2yRIOqc2xqmmf1pTFeNDsEZqUlNoHiYj&amp;_nc_ohc=JD0afoKVgyQQ7kNvwF8DXq7&amp;_nc_gid=sL06URkeu03JC55cshlDnw&amp;edm=AI-cjbYBAAAA&amp;ccb=7-5&amp;oh=00_Af1_lm3dYSVcEYX23ihXRk5JhrhvXcJUPQ_t930rGoY0yw&amp;oe=69D90518&amp;_nc_sid=0985b0</t>
  </si>
  <si>
    <t>https://instagram.fcgh5-1.fna.fbcdn.net/v/t51.2885-19/13744253_1675557376100810_363472726_a.jpg?stp=dst-jpg_s150x150_tt6&amp;efg=eyJ2ZW5jb2RlX3RhZyI6InByb2ZpbGVfcGljLmRqYW5nby4xMDgwLmMyIn0&amp;_nc_ht=instagram.fcgh5-1.fna.fbcdn.net&amp;_nc_cat=102&amp;_nc_oc=Q6cZ2gFmnWE7OdCq6jmgPSJ9XjjfExNStSSwLxedvns4hxW8o6-g2X6vJ7fevp9VnTyfI5vtyRqydMF8klt7lEinMCw9&amp;_nc_ohc=JD0afoKVgyQQ7kNvwF8DXq7&amp;_nc_gid=X1iIA0q1kmAgp8bdyk_rfw&amp;edm=AI-cjbYBAAAA&amp;ccb=7-5&amp;oh=00_Af1OLgYu2u5C517V7zZ-0KLS6p9WfOOyH5QXAKyNbPCCEQ&amp;oe=69D90518&amp;_nc_sid=0985b0</t>
  </si>
  <si>
    <t>hakimsaber</t>
  </si>
  <si>
    <t>Amazing Profile :D</t>
  </si>
  <si>
    <t>01/01/2017, 09:06:21</t>
  </si>
  <si>
    <t>https://www.instagram.com/hakimsaber</t>
  </si>
  <si>
    <t>https://instagram.fcgh5-1.fna.fbcdn.net/v/t51.82787-19/658025235_18578882587028513_8772827001457383622_n.jpg?stp=dst-jpg_s150x150_tt6&amp;efg=eyJ2ZW5jb2RlX3RhZyI6InByb2ZpbGVfcGljLmRqYW5nby4xMDAwLmMyIn0&amp;_nc_ht=instagram.fcgh5-1.fna.fbcdn.net&amp;_nc_cat=105&amp;_nc_oc=Q6cZ2gHd3CVDRTqbg4PdsyN-1GhlyGwjVGv8MhdLQQhkpcyDofV24iPEqt5dysxiSvtOKbIJ-X3w-614gZYGloEMAEAb&amp;_nc_ohc=puCb1jfRu6gQ7kNvwG19SPI&amp;_nc_gid=K8nq3NJkoIYQON4v0Q93cA&amp;edm=AI-cjbYBAAAA&amp;ccb=7-5&amp;oh=00_Af3_QDoQrDqXZrVnJK-PBJ3c2mCnwmOJQ80qREgK5wgBhg&amp;oe=69D8DB66&amp;_nc_sid=0985b0</t>
  </si>
  <si>
    <t>vitor.fagundes</t>
  </si>
  <si>
    <t>😄😄</t>
  </si>
  <si>
    <t>02/01/2017, 19:57:24</t>
  </si>
  <si>
    <t>https://www.instagram.com/vitor.fagundes</t>
  </si>
  <si>
    <t>https://instagram.fcgh5-1.fna.fbcdn.net/v/t51.2885-19/440877340_1218511212855845_8595491855667154415_n.jpg?stp=dst-jpg_s150x150_tt6&amp;efg=eyJ2ZW5jb2RlX3RhZyI6InByb2ZpbGVfcGljLmRqYW5nby4xMDgwLmMyIn0&amp;_nc_ht=instagram.fcgh5-1.fna.fbcdn.net&amp;_nc_cat=105&amp;_nc_oc=Q6cZ2gGhsbJTXdYaayOEACZXwOIx8NJMbbzBalMyN0NIlvW0KEQN_bS3TBONCSMh0Q-spYnEyi8OYatE6aBmaecXttkk&amp;_nc_ohc=LM-eJrKqiv0Q7kNvwEomME6&amp;_nc_gid=JnbWU6kheH7cqrGQpxVkUA&amp;edm=AI-cjbYBAAAA&amp;ccb=7-5&amp;oh=00_Af33nx1Wif7DRGgbtGpAzOkGl4E9e7LZKk-vY0MVtcYlDw&amp;oe=69D8F4E1&amp;_nc_sid=0985b0</t>
  </si>
  <si>
    <t>alexanderivanovphotography</t>
  </si>
  <si>
    <t>Amazing!</t>
  </si>
  <si>
    <t>08/01/2017, 17:28:25</t>
  </si>
  <si>
    <t>https://www.instagram.com/alexanderivanovphotography</t>
  </si>
  <si>
    <t>https://instagram.fcgh5-1.fna.fbcdn.net/v/t51.2885-19/66719531_910539889290266_6459706778270564352_n.jpg?stp=dst-jpg_s150x150_tt6&amp;efg=eyJ2ZW5jb2RlX3RhZyI6InByb2ZpbGVfcGljLmRqYW5nby4xMDgwLmMyIn0&amp;_nc_ht=instagram.fcgh5-1.fna.fbcdn.net&amp;_nc_cat=102&amp;_nc_oc=Q6cZ2gGhsbJTXdYaayOEACZXwOIx8NJMbbzBalMyN0NIlvW0KEQN_bS3TBONCSMh0Q-spYnEyi8OYatE6aBmaecXttkk&amp;_nc_ohc=yP8qFfZoncUQ7kNvwHvd38l&amp;_nc_gid=JnbWU6kheH7cqrGQpxVkUA&amp;edm=AI-cjbYBAAAA&amp;ccb=7-5&amp;oh=00_Af0hJcIJuw5AHIpRuQLUo5YPW8janRt1jEOxmU-c8WusZw&amp;oe=69D8DCC5&amp;_nc_sid=0985b0</t>
  </si>
  <si>
    <t>renatampo</t>
  </si>
  <si>
    <t>Bah, mega importante!!!! 👏🏻👏🏻👏🏻</t>
  </si>
  <si>
    <t>10/11/2018, 01:19:49</t>
  </si>
  <si>
    <t>https://www.instagram.com/renatampo</t>
  </si>
  <si>
    <t>https://instagram.fcgh5-2.fna.fbcdn.net/v/t51.2885-19/11821657_702601793218947_696917130_a.jpg?stp=dst-jpg_s150x150_tt6&amp;efg=eyJ2ZW5jb2RlX3RhZyI6InByb2ZpbGVfcGljLmRqYW5nby4xNTAuYzIifQ&amp;_nc_ht=instagram.fcgh5-2.fna.fbcdn.net&amp;_nc_cat=103&amp;_nc_oc=Q6cZ2gG0ocORkZUMYBW0kPPeFwjidnqpoBjiZHdbO_RjkwKxSSk_WsyQRQw3-GbV9tCyxpDOUM_RwzSilT1MyDU519aO&amp;_nc_ohc=yG5pd_94QIYQ7kNvwG5FJgb&amp;_nc_gid=CB2WYOjEBiFtN3fNUTfD3w&amp;edm=AI-cjbYBAAAA&amp;ccb=7-5&amp;oh=00_Af3H1_inrOURmiG1H4dtXzXSLVl0XyLUnCqUlshd3tydSA&amp;oe=69D8BCD2&amp;_nc_sid=0985b0</t>
  </si>
  <si>
    <t>thyagosf</t>
  </si>
  <si>
    <t>Não adianta a gente se preocupar e embalar a mala, enquanto os funcionários das empresas aéreas jogam de todo jeito e quebram nossas malas. E se for reclamar a burocracia é tão grande que perdemos até a viagem esperando rsrs.</t>
  </si>
  <si>
    <t>09/12/2018, 09:12:28</t>
  </si>
  <si>
    <t>https://www.instagram.com/thyagosf</t>
  </si>
  <si>
    <t>https://instagram.fcgh5-1.fna.fbcdn.net/v/t51.2885-19/424971929_1158404355150137_7771920721367216794_n.jpg?stp=dst-jpg_s150x150_tt6&amp;efg=eyJ2ZW5jb2RlX3RhZyI6InByb2ZpbGVfcGljLmRqYW5nby43MjAuYzIifQ&amp;_nc_ht=instagram.fcgh5-1.fna.fbcdn.net&amp;_nc_cat=105&amp;_nc_oc=Q6cZ2gG0ocORkZUMYBW0kPPeFwjidnqpoBjiZHdbO_RjkwKxSSk_WsyQRQw3-GbV9tCyxpDOUM_RwzSilT1MyDU519aO&amp;_nc_ohc=OZiX6eYX7pYQ7kNvwHoi_Nm&amp;_nc_gid=CB2WYOjEBiFtN3fNUTfD3w&amp;edm=AI-cjbYBAAAA&amp;ccb=7-5&amp;oh=00_Af28OEbXJFpjAPvoXl7gQPO33IwYibJ0uJNm-eXpf6eFww&amp;oe=69D8B3B7&amp;_nc_sid=0985b0</t>
  </si>
  <si>
    <t>lilowviaja</t>
  </si>
  <si>
    <t>01/02/2017, 02:46:57</t>
  </si>
  <si>
    <t>https://www.instagram.com/lilowviaja</t>
  </si>
  <si>
    <t>https://instagram.fcgh5-2.fna.fbcdn.net/v/t51.2885-19/315206230_576680850892432_2612410893548581800_n.jpg?stp=dst-jpg_s150x150_tt6&amp;efg=eyJ2ZW5jb2RlX3RhZyI6InByb2ZpbGVfcGljLmRqYW5nby42MzUuYzIifQ&amp;_nc_ht=instagram.fcgh5-2.fna.fbcdn.net&amp;_nc_cat=104&amp;_nc_oc=Q6cZ2gHSdR3NPiWjRYcPP_QCb4seQFlY8XZRuXAY56cRU_3b1GtrpTfoXJe4_0xMnpxsl5FnVSDkAiKw8-srZDcPtTTY&amp;_nc_ohc=r6hcskoH4aMQ7kNvwFY5zg1&amp;_nc_gid=pK9rTrdVTDwsN9VoxrXI8w&amp;edm=AI-cjbYBAAAA&amp;ccb=7-5&amp;oh=00_Af1tY19spMTB41BV1tCEiYoPUh2SCa3xEiDC70hDWpm6Yw&amp;oe=69D8EFF0&amp;_nc_sid=0985b0</t>
  </si>
  <si>
    <t>airhopping</t>
  </si>
  <si>
    <t>Es genial ☺</t>
  </si>
  <si>
    <t>19/01/2017, 02:52:43</t>
  </si>
  <si>
    <t>https://www.instagram.com/airhopping</t>
  </si>
  <si>
    <t>https://instagram.fcgh5-2.fna.fbcdn.net/v/t51.2885-19/277112906_289903263293988_2378874632540928510_n.jpg?stp=dst-jpg_s150x150_tt6&amp;efg=eyJ2ZW5jb2RlX3RhZyI6InByb2ZpbGVfcGljLmRqYW5nby43NTAuYzIifQ&amp;_nc_ht=instagram.fcgh5-2.fna.fbcdn.net&amp;_nc_cat=100&amp;_nc_oc=Q6cZ2gESmLMIUoVqrl2Sq8vwXU1vbBsEW_GeIK9g7v0Er-oVMjdVSQB_7uHU7MmRnhtNBnklUP_7mnZlc2zwkMdTkWiA&amp;_nc_ohc=o-j3LVLiSysQ7kNvwG9BnKZ&amp;_nc_gid=oCtuA1q5GseuGZLIYtCj-A&amp;edm=AI-cjbYBAAAA&amp;ccb=7-5&amp;oh=00_Af06uNyamg1n7NVjdBy46tFhH6LB34JfAEQCkahWreZ2Dw&amp;oe=69D8DA90&amp;_nc_sid=0985b0</t>
  </si>
  <si>
    <t>finosaborcearense</t>
  </si>
  <si>
    <t>👍 👍</t>
  </si>
  <si>
    <t>21/01/2017, 20:21:05</t>
  </si>
  <si>
    <t>https://www.instagram.com/finosaborcearense</t>
  </si>
  <si>
    <t>https://instagram.fcgh5-1.fna.fbcdn.net/v/t51.82787-19/637712176_18536173687064738_4042181085100785273_n.jpg?stp=dst-jpg_s150x150_tt6&amp;efg=eyJ2ZW5jb2RlX3RhZyI6InByb2ZpbGVfcGljLmRqYW5nby4xMDI0LmMyIn0&amp;_nc_ht=instagram.fcgh5-1.fna.fbcdn.net&amp;_nc_cat=102&amp;_nc_oc=Q6cZ2gESmLMIUoVqrl2Sq8vwXU1vbBsEW_GeIK9g7v0Er-oVMjdVSQB_7uHU7MmRnhtNBnklUP_7mnZlc2zwkMdTkWiA&amp;_nc_ohc=Dv__eI6gG7sQ7kNvwFZCk_2&amp;_nc_gid=oCtuA1q5GseuGZLIYtCj-A&amp;edm=AI-cjbYBAAAA&amp;ccb=7-5&amp;oh=00_Af2cIv-b9U8-R2upc9pFJxz8k6TJ0noVfDPeIO51eW_ZRw&amp;oe=69D8EB4C&amp;_nc_sid=0985b0</t>
  </si>
  <si>
    <t>mkfotoeu</t>
  </si>
  <si>
    <t>great one! 😍</t>
  </si>
  <si>
    <t>11/01/2017, 17:06:15</t>
  </si>
  <si>
    <t>https://www.instagram.com/mkfotoeu</t>
  </si>
  <si>
    <t>https://instagram.fcgh5-2.fna.fbcdn.net/v/t51.2885-19/124178531_107895414390904_5405699906455005767_n.jpg?stp=dst-jpg_s150x150_tt6&amp;efg=eyJ2ZW5jb2RlX3RhZyI6InByb2ZpbGVfcGljLmRqYW5nby41NjMuYzIifQ&amp;_nc_ht=instagram.fcgh5-2.fna.fbcdn.net&amp;_nc_cat=104&amp;_nc_oc=Q6cZ2gFohsL2cwcxqOXTp5SwYDpBskIwevM2ykMw1taV0cPjAInfE9Ka4ZgxwNkjZsG_mlTMvhhuNCKJ3jJN15q-n1be&amp;_nc_ohc=aBjSh6eBz_IQ7kNvwHAXARx&amp;_nc_gid=Qc5hJWDDmhp4NgHKmi-pYQ&amp;edm=AI-cjbYBAAAA&amp;ccb=7-5&amp;oh=00_Af39Ua6AEvQeeYrvOt92ENfn1tIPQbxYrMFZIeQDhF3k0w&amp;oe=69D8E766&amp;_nc_sid=0985b0</t>
  </si>
  <si>
    <t>altonlane</t>
  </si>
  <si>
    <t>12/01/2017, 06:00:23</t>
  </si>
  <si>
    <t>https://www.instagram.com/altonlane</t>
  </si>
  <si>
    <t>https://instagram.fcgh5-2.fna.fbcdn.net/v/t51.2885-19/125896703_390055732137576_3451883690499331649_n.jpg?stp=dst-jpg_s150x150_tt6&amp;efg=eyJ2ZW5jb2RlX3RhZyI6InByb2ZpbGVfcGljLmRqYW5nby4xMDAwLmMyIn0&amp;_nc_ht=instagram.fcgh5-2.fna.fbcdn.net&amp;_nc_cat=100&amp;_nc_oc=Q6cZ2gFohsL2cwcxqOXTp5SwYDpBskIwevM2ykMw1taV0cPjAInfE9Ka4ZgxwNkjZsG_mlTMvhhuNCKJ3jJN15q-n1be&amp;_nc_ohc=PNKAwDDcfz0Q7kNvwEnFMc5&amp;_nc_gid=Qc5hJWDDmhp4NgHKmi-pYQ&amp;edm=AI-cjbYBAAAA&amp;ccb=7-5&amp;oh=00_Af1Dm_5P1u7h3qH_wAa9dKmYW4ZIDixzsB5t4kj6qycaQw&amp;oe=69D8F403&amp;_nc_sid=0985b0</t>
  </si>
  <si>
    <t>vajrabuddha_yoga</t>
  </si>
  <si>
    <t>Awesome!</t>
  </si>
  <si>
    <t>12/01/2017, 19:46:04</t>
  </si>
  <si>
    <t>https://www.instagram.com/vajrabuddha_yoga</t>
  </si>
  <si>
    <t>https://instagram.fcgh5-1.fna.fbcdn.net/v/t51.82787-19/584400174_18431022799110275_4572443633907611331_n.jpg?stp=dst-jpg_s150x150_tt6&amp;efg=eyJ2ZW5jb2RlX3RhZyI6InByb2ZpbGVfcGljLmRqYW5nby43MTYuYzIifQ&amp;_nc_ht=instagram.fcgh5-1.fna.fbcdn.net&amp;_nc_cat=111&amp;_nc_oc=Q6cZ2gFohsL2cwcxqOXTp5SwYDpBskIwevM2ykMw1taV0cPjAInfE9Ka4ZgxwNkjZsG_mlTMvhhuNCKJ3jJN15q-n1be&amp;_nc_ohc=uFkc9EKAo4gQ7kNvwHXbUsg&amp;_nc_gid=Qc5hJWDDmhp4NgHKmi-pYQ&amp;edm=AI-cjbYBAAAA&amp;ccb=7-5&amp;oh=00_Af0-w-kct1tuQrhq0DdKNbU90YmmF67I8WlqrOubHYhixA&amp;oe=69D8FC69&amp;_nc_sid=0985b0</t>
  </si>
  <si>
    <t>lbpark_floripa</t>
  </si>
  <si>
    <t>Esperamos sua visita para comer,beber e se divertir nos melhores food trucks de Florianópolis 😄</t>
  </si>
  <si>
    <t>14/01/2017, 08:00:50</t>
  </si>
  <si>
    <t>https://www.instagram.com/lbpark_floripa</t>
  </si>
  <si>
    <t>https://instagram.fcgh5-2.fna.fbcdn.net/v/t51.2885-19/457144457_532030389343722_9030071718739520773_n.jpg?stp=dst-jpg_s150x150_tt6&amp;efg=eyJ2ZW5jb2RlX3RhZyI6InByb2ZpbGVfcGljLmRqYW5nby4xMDgwLmMyIn0&amp;_nc_ht=instagram.fcgh5-2.fna.fbcdn.net&amp;_nc_cat=106&amp;_nc_oc=Q6cZ2gHsYSOhokFYcOalHVubZK42HgQtlTyVjp2lnydkfPKmpz4EXt3_4ntr0hDzyPokWIFFpjAob5KqqBlzqPzDEkCs&amp;_nc_ohc=LplwNlf8IroQ7kNvwHumyAc&amp;_nc_gid=MTOUvMaTsn2CXR5lqwZcGQ&amp;edm=AI-cjbYBAAAA&amp;ccb=7-5&amp;oh=00_Af05iz7fQFidFOgd6GsiNNpvjPlBYeUyvW9vHwMxMHEfDg&amp;oe=69D8F174&amp;_nc_sid=0985b0</t>
  </si>
  <si>
    <t>univinho</t>
  </si>
  <si>
    <t>👏 🍷 😄</t>
  </si>
  <si>
    <t>13/01/2017, 21:01:14</t>
  </si>
  <si>
    <t>https://www.instagram.com/univinho</t>
  </si>
  <si>
    <t>https://instagram.fcgh5-2.fna.fbcdn.net/v/t51.2885-19/480857025_1202661571278133_879041217633630373_n.jpg?stp=dst-jpg_s150x150_tt6&amp;efg=eyJ2ZW5jb2RlX3RhZyI6InByb2ZpbGVfcGljLmRqYW5nby40MDAuYzIifQ&amp;_nc_ht=instagram.fcgh5-2.fna.fbcdn.net&amp;_nc_cat=101&amp;_nc_oc=Q6cZ2gHmo5ly55r-iSpgFkLykRY8jXTkFLb7d39cPCg6jRvfOeuenthWCsubt5zQOTRCrrF7ZNZtv17zvpSOborPINoM&amp;_nc_ohc=QDdY1JRvPOUQ7kNvwEHN9yk&amp;_nc_gid=dlH5BG5i_762f3F-TRGL2w&amp;edm=AI-cjbYBAAAA&amp;ccb=7-5&amp;oh=00_Af249jBQuCp_gie_af6yb_0s3aSTcOGSGH2eYPHC85XjDA&amp;oe=69D8DF91&amp;_nc_sid=0985b0</t>
  </si>
  <si>
    <t>rebochef</t>
  </si>
  <si>
    <t>Love your page!</t>
  </si>
  <si>
    <t>14/01/2017, 23:54:08</t>
  </si>
  <si>
    <t>https://www.instagram.com/rebochef</t>
  </si>
  <si>
    <t>https://instagram.fcgh5-1.fna.fbcdn.net/v/t51.82787-19/657678407_18574849741025321_2481373787313767864_n.jpg?stp=dst-jpg_s150x150_tt6&amp;efg=eyJ2ZW5jb2RlX3RhZyI6InByb2ZpbGVfcGljLmRqYW5nby4xMDI0LmMyIn0&amp;_nc_ht=instagram.fcgh5-1.fna.fbcdn.net&amp;_nc_cat=105&amp;_nc_oc=Q6cZ2gHmo5ly55r-iSpgFkLykRY8jXTkFLb7d39cPCg6jRvfOeuenthWCsubt5zQOTRCrrF7ZNZtv17zvpSOborPINoM&amp;_nc_ohc=vJAfGWq_4pwQ7kNvwHzOJs6&amp;_nc_gid=dlH5BG5i_762f3F-TRGL2w&amp;edm=AI-cjbYBAAAA&amp;ccb=7-5&amp;oh=00_Af233hXRXUFcdRWHSqYeiocJ0aUwQIhAJA1atiyMA7TobA&amp;oe=69D8F2C7&amp;_nc_sid=0985b0</t>
  </si>
  <si>
    <t>el_indulgist</t>
  </si>
  <si>
    <t>16/01/2017, 19:22:55</t>
  </si>
  <si>
    <t>https://www.instagram.com/el_indulgist</t>
  </si>
  <si>
    <t>https://instagram.fcgh5-2.fna.fbcdn.net/v/t51.2885-19/432339770_778175267822586_791268582818480758_n.jpg?stp=dst-jpg_s150x150_tt6&amp;efg=eyJ2ZW5jb2RlX3RhZyI6InByb2ZpbGVfcGljLmRqYW5nby40MTkuYzIifQ&amp;_nc_ht=instagram.fcgh5-2.fna.fbcdn.net&amp;_nc_cat=106&amp;_nc_oc=Q6cZ2gHmo5ly55r-iSpgFkLykRY8jXTkFLb7d39cPCg6jRvfOeuenthWCsubt5zQOTRCrrF7ZNZtv17zvpSOborPINoM&amp;_nc_ohc=ukJ1eab1qVAQ7kNvwELd0xR&amp;_nc_gid=dlH5BG5i_762f3F-TRGL2w&amp;edm=AI-cjbYBAAAA&amp;ccb=7-5&amp;oh=00_Af2KBFLV3eXVojdKlE_lIBKhm6ap5RGSXEdaglldszja2g&amp;oe=69D8F215&amp;_nc_sid=0985b0</t>
  </si>
  <si>
    <t>https://instagram.fcgh5-2.fna.fbcdn.net/v/t51.2885-19/480857025_1202661571278133_879041217633630373_n.jpg?stp=dst-jpg_s150x150_tt6&amp;efg=eyJ2ZW5jb2RlX3RhZyI6InByb2ZpbGVfcGljLmRqYW5nby40MDAuYzIifQ&amp;_nc_ht=instagram.fcgh5-2.fna.fbcdn.net&amp;_nc_cat=101&amp;_nc_oc=Q6cZ2gH5fzQVhks9_v7_0x1T49iYJJuKC7HyqEX0fBv0ylcpBByBRVnx7Si6_7JxvONgxStzmRe_Cv-TkM9oOj6Fs7dC&amp;_nc_ohc=QDdY1JRvPOUQ7kNvwEHN9yk&amp;_nc_gid=H0Ujm6cComs17noQdpOEew&amp;edm=AI-cjbYBAAAA&amp;ccb=7-5&amp;oh=00_Af2Ww0DwyWNIYnMx3b_lkAhYss0hOeHvyHbVGx5JqhA6yw&amp;oe=69D8DF91&amp;_nc_sid=0985b0</t>
  </si>
  <si>
    <t>https://instagram.fcgh5-1.fna.fbcdn.net/v/t51.82787-19/657678407_18574849741025321_2481373787313767864_n.jpg?stp=dst-jpg_s150x150_tt6&amp;efg=eyJ2ZW5jb2RlX3RhZyI6InByb2ZpbGVfcGljLmRqYW5nby4xMDI0LmMyIn0&amp;_nc_ht=instagram.fcgh5-1.fna.fbcdn.net&amp;_nc_cat=105&amp;_nc_oc=Q6cZ2gH5fzQVhks9_v7_0x1T49iYJJuKC7HyqEX0fBv0ylcpBByBRVnx7Si6_7JxvONgxStzmRe_Cv-TkM9oOj6Fs7dC&amp;_nc_ohc=vJAfGWq_4pwQ7kNvwHzOJs6&amp;_nc_gid=H0Ujm6cComs17noQdpOEew&amp;edm=AI-cjbYBAAAA&amp;ccb=7-5&amp;oh=00_Af2X-ksQplj6l94EEvQp0ULkFq6S2gEDQTQ-xfeqaYywNg&amp;oe=69D8F2C7&amp;_nc_sid=0985b0</t>
  </si>
  <si>
    <t>https://instagram.fcgh5-2.fna.fbcdn.net/v/t51.2885-19/432339770_778175267822586_791268582818480758_n.jpg?stp=dst-jpg_s150x150_tt6&amp;efg=eyJ2ZW5jb2RlX3RhZyI6InByb2ZpbGVfcGljLmRqYW5nby40MTkuYzIifQ&amp;_nc_ht=instagram.fcgh5-2.fna.fbcdn.net&amp;_nc_cat=106&amp;_nc_oc=Q6cZ2gH5fzQVhks9_v7_0x1T49iYJJuKC7HyqEX0fBv0ylcpBByBRVnx7Si6_7JxvONgxStzmRe_Cv-TkM9oOj6Fs7dC&amp;_nc_ohc=ukJ1eab1qVAQ7kNvwELd0xR&amp;_nc_gid=H0Ujm6cComs17noQdpOEew&amp;edm=AI-cjbYBAAAA&amp;ccb=7-5&amp;oh=00_Af3BbV3gBkrDa_u2AqKHsw1yLORr8LtSEvSidm7lHe3ugA&amp;oe=69D8F215&amp;_nc_sid=0985b0</t>
  </si>
  <si>
    <t>danipaschoalr</t>
  </si>
  <si>
    <t>Buenos Aires é linda 😉</t>
  </si>
  <si>
    <t>30/01/2017, 08:57:15</t>
  </si>
  <si>
    <t>https://www.instagram.com/danipaschoalr</t>
  </si>
  <si>
    <t>https://instagram.fcgh5-2.fna.fbcdn.net/v/t51.2885-19/449614963_465189689462544_2515711453105361712_n.jpg?stp=dst-jpg_s150x150_tt6&amp;efg=eyJ2ZW5jb2RlX3RhZyI6InByb2ZpbGVfcGljLmRqYW5nby4xMDgwLmMyIn0&amp;_nc_ht=instagram.fcgh5-2.fna.fbcdn.net&amp;_nc_cat=100&amp;_nc_oc=Q6cZ2gEXFKZL8HGM2MxyZA15rqitfJNhHa2hKDf2Mq83XBlAqIfgR9zflqXqwwO5QwAMjlhOQFCYRfQO1JWJPRSoik-f&amp;_nc_ohc=NwiDf9dghy0Q7kNvwGvCcPh&amp;_nc_gid=3hpcVQ-kSDwvF624GaZx2g&amp;edm=AI-cjbYBAAAA&amp;ccb=7-5&amp;oh=00_Af3EKEJ_kcsYDkCy9sevW17ttqxNgj4oaPYXAmWvr9eZYw&amp;oe=69D8D723&amp;_nc_sid=0985b0</t>
  </si>
  <si>
    <t>https://instagram.fcgh5-2.fna.fbcdn.net/v/t51.2885-19/449614963_465189689462544_2515711453105361712_n.jpg?stp=dst-jpg_s150x150_tt6&amp;efg=eyJ2ZW5jb2RlX3RhZyI6InByb2ZpbGVfcGljLmRqYW5nby4xMDgwLmMyIn0&amp;_nc_ht=instagram.fcgh5-2.fna.fbcdn.net&amp;_nc_cat=100&amp;_nc_oc=Q6cZ2gEIsd6IpnkrZcUY0jsvaw-TIiiWCJeiUs27DXJbYdRBlexOCoKjYL-qVGpf5FQzyqbEOr-cxl48lNYZ1UrVn2ay&amp;_nc_ohc=NwiDf9dghy0Q7kNvwGvCcPh&amp;_nc_gid=2mcYRCNJX-3wnbZZXCjDdA&amp;edm=AI-cjbYBAAAA&amp;ccb=7-5&amp;oh=00_Af11No2wQuAxQj9S01FtxdiZ-XEflO4WHj3it9zCr_OeXw&amp;oe=69D8D723&amp;_nc_sid=0985b0</t>
  </si>
  <si>
    <t>lifeofsabin</t>
  </si>
  <si>
    <t>🌎 Can you guess the last country I've been to?</t>
  </si>
  <si>
    <t>29/01/2017, 07:59:06</t>
  </si>
  <si>
    <t>https://www.instagram.com/lifeofsabin</t>
  </si>
  <si>
    <t>https://instagram.fcgh5-2.fna.fbcdn.net/v/t51.2885-19/57377598_290686401847921_8596634702327054336_n.jpg?stp=dst-jpg_s150x150_tt6&amp;efg=eyJ2ZW5jb2RlX3RhZyI6InByb2ZpbGVfcGljLmRqYW5nby40NjguYzIifQ&amp;_nc_ht=instagram.fcgh5-2.fna.fbcdn.net&amp;_nc_cat=101&amp;_nc_oc=Q6cZ2gGX8AHuHqgFRhkXnp-RE3fINo7LJqaBcQJg9Z5UNwXCVdl_pNh_bLGHi1ll6EXmSQ1mhjvobxFeBDZS09oirlFY&amp;_nc_ohc=T0Ol6AG-6E8Q7kNvwEuAsvj&amp;_nc_gid=e-cCkeFh1QiTNYorvgq7Bg&amp;edm=AI-cjbYBAAAA&amp;ccb=7-5&amp;oh=00_Af3edSPi0flex0A8mbYK9k4ZyHIeDGdtYZkgaQr3J_NZ-A&amp;oe=69D8CE10&amp;_nc_sid=0985b0</t>
  </si>
  <si>
    <t>lilistep.thetitle</t>
  </si>
  <si>
    <t>Super!</t>
  </si>
  <si>
    <t>29/01/2017, 17:06:55</t>
  </si>
  <si>
    <t>https://www.instagram.com/lilistep.thetitle</t>
  </si>
  <si>
    <t>https://instagram.fcgh5-2.fna.fbcdn.net/v/t51.2885-19/470306327_1595833197974871_810918834332943319_n.jpg?stp=dst-jpg_s150x150_tt6&amp;efg=eyJ2ZW5jb2RlX3RhZyI6InByb2ZpbGVfcGljLmRqYW5nby44NTMuYzIifQ&amp;_nc_ht=instagram.fcgh5-2.fna.fbcdn.net&amp;_nc_cat=103&amp;_nc_oc=Q6cZ2gGX8AHuHqgFRhkXnp-RE3fINo7LJqaBcQJg9Z5UNwXCVdl_pNh_bLGHi1ll6EXmSQ1mhjvobxFeBDZS09oirlFY&amp;_nc_ohc=uWruPQYiQDoQ7kNvwF2ckBG&amp;_nc_gid=e-cCkeFh1QiTNYorvgq7Bg&amp;edm=AI-cjbYBAAAA&amp;ccb=7-5&amp;oh=00_Af2HwPxGx6toZOp93gdXPDLf8KWzXNxr5Dl_NTQKYUMCuQ&amp;oe=69D8D826&amp;_nc_sid=0985b0</t>
  </si>
  <si>
    <t>roundtrip.tours</t>
  </si>
  <si>
    <t>I like the atmosphere</t>
  </si>
  <si>
    <t>26/01/2017, 13:05:15</t>
  </si>
  <si>
    <t>https://www.instagram.com/roundtrip.tours</t>
  </si>
  <si>
    <t>https://instagram.fcgh5-1.fna.fbcdn.net/v/t51.2885-19/41687912_2308167446071054_2558775750694010880_n.jpg?stp=dst-jpg_s150x150_tt6&amp;efg=eyJ2ZW5jb2RlX3RhZyI6InByb2ZpbGVfcGljLmRqYW5nby4xMDI0LmMyIn0&amp;_nc_ht=instagram.fcgh5-1.fna.fbcdn.net&amp;_nc_cat=110&amp;_nc_oc=Q6cZ2gGfRkTyMe04UnJvEMHIWNuETptNYk31OXxNG4dcsuIJM53ZAm7-bcIAmKL1nEyAqfbC6i2xPcO4ouXsVYq07ke3&amp;_nc_ohc=rFrY0rJ_mDYQ7kNvwHx9mH6&amp;_nc_gid=Fe7fsMROghw4M7Uzd7gPSw&amp;edm=AI-cjbYBAAAA&amp;ccb=7-5&amp;oh=00_Af1hXbocwL94yb3EvNrn8SVLAyLQP63rUJyg2-r5eJOh8A&amp;oe=69D8FF74&amp;_nc_sid=0985b0</t>
  </si>
  <si>
    <t>latorre_oficial</t>
  </si>
  <si>
    <t>26/01/2017, 19:07:32</t>
  </si>
  <si>
    <t>https://www.instagram.com/latorre_oficial</t>
  </si>
  <si>
    <t>https://instagram.fcgh5-1.fna.fbcdn.net/v/t51.2885-19/264495904_588333625570340_4678323605150357200_n.jpg?stp=dst-jpg_s150x150_tt6&amp;efg=eyJ2ZW5jb2RlX3RhZyI6InByb2ZpbGVfcGljLmRqYW5nby4xMDgwLmMyIn0&amp;_nc_ht=instagram.fcgh5-1.fna.fbcdn.net&amp;_nc_cat=108&amp;_nc_oc=Q6cZ2gGfRkTyMe04UnJvEMHIWNuETptNYk31OXxNG4dcsuIJM53ZAm7-bcIAmKL1nEyAqfbC6i2xPcO4ouXsVYq07ke3&amp;_nc_ohc=9icKnojCErEQ7kNvwEJKFMI&amp;_nc_gid=Fe7fsMROghw4M7Uzd7gPSw&amp;edm=AI-cjbYBAAAA&amp;ccb=7-5&amp;oh=00_Af0RHtppGuXYStg5j3dAxXyNhA3LtpSo7NKQiagqTRn9Hg&amp;oe=69D8EC71&amp;_nc_sid=0985b0</t>
  </si>
  <si>
    <t>festivaldaflor</t>
  </si>
  <si>
    <t>29/01/2017, 07:50:40</t>
  </si>
  <si>
    <t>https://www.instagram.com/festivaldaflor</t>
  </si>
  <si>
    <t>https://instagram.fcgh5-1.fna.fbcdn.net/v/t51.82787-19/568054382_18536002912056176_1503605031623834454_n.jpg?stp=dst-jpg_s150x150_tt6&amp;efg=eyJ2ZW5jb2RlX3RhZyI6InByb2ZpbGVfcGljLmRqYW5nby4xMDgwLmMyIn0&amp;_nc_ht=instagram.fcgh5-1.fna.fbcdn.net&amp;_nc_cat=108&amp;_nc_oc=Q6cZ2gGfRkTyMe04UnJvEMHIWNuETptNYk31OXxNG4dcsuIJM53ZAm7-bcIAmKL1nEyAqfbC6i2xPcO4ouXsVYq07ke3&amp;_nc_ohc=QhK-QMDy21YQ7kNvwHZkr2V&amp;_nc_gid=Fe7fsMROghw4M7Uzd7gPSw&amp;edm=AI-cjbYBAAAA&amp;ccb=7-5&amp;oh=00_Af3bhf8p05nAb-FKaBo1m4AtAvrp8ib1Gle1_9LUA0TR_g&amp;oe=69D8D5F4&amp;_nc_sid=0985b0</t>
  </si>
  <si>
    <t>hyundaipoleposition</t>
  </si>
  <si>
    <t>29/01/2017, 20:18:55</t>
  </si>
  <si>
    <t>https://www.instagram.com/hyundaipoleposition</t>
  </si>
  <si>
    <t>https://instagram.fcgh5-2.fna.fbcdn.net/v/t51.2885-19/501614881_18484482127071384_3054052567878069560_n.jpg?stp=dst-jpg_s150x150_tt6&amp;efg=eyJ2ZW5jb2RlX3RhZyI6InByb2ZpbGVfcGljLmRqYW5nby4xMDgwLmMyIn0&amp;_nc_ht=instagram.fcgh5-2.fna.fbcdn.net&amp;_nc_cat=100&amp;_nc_oc=Q6cZ2gGfRkTyMe04UnJvEMHIWNuETptNYk31OXxNG4dcsuIJM53ZAm7-bcIAmKL1nEyAqfbC6i2xPcO4ouXsVYq07ke3&amp;_nc_ohc=UtpHuZaguZoQ7kNvwEQNyFS&amp;_nc_gid=Fe7fsMROghw4M7Uzd7gPSw&amp;edm=AI-cjbYBAAAA&amp;ccb=7-5&amp;oh=00_Af1sP9ghARpvKkxmxfKG--XP64cGIwDEjdn2ejyU1OCZJw&amp;oe=69D8FA3F&amp;_nc_sid=0985b0</t>
  </si>
  <si>
    <t>Meu desafio, conseguir passar perto de um cassino e nao jogar Poker 😂😂😉</t>
  </si>
  <si>
    <t>30/01/2017, 08:58:08</t>
  </si>
  <si>
    <t>https://instagram.fcgh5-2.fna.fbcdn.net/v/t51.2885-19/449614963_465189689462544_2515711453105361712_n.jpg?stp=dst-jpg_s150x150_tt6&amp;efg=eyJ2ZW5jb2RlX3RhZyI6InByb2ZpbGVfcGljLmRqYW5nby4xMDgwLmMyIn0&amp;_nc_ht=instagram.fcgh5-2.fna.fbcdn.net&amp;_nc_cat=100&amp;_nc_oc=Q6cZ2gGfRkTyMe04UnJvEMHIWNuETptNYk31OXxNG4dcsuIJM53ZAm7-bcIAmKL1nEyAqfbC6i2xPcO4ouXsVYq07ke3&amp;_nc_ohc=NwiDf9dghy0Q7kNvwGvCcPh&amp;_nc_gid=Fe7fsMROghw4M7Uzd7gPSw&amp;edm=AI-cjbYBAAAA&amp;ccb=7-5&amp;oh=00_Af2fp7FDvD03VvQenKms2n5cn9-fh9hXtNMp7KkoeLC5AA&amp;oe=69D8D723&amp;_nc_sid=0985b0</t>
  </si>
  <si>
    <t>thegardenopenmall</t>
  </si>
  <si>
    <t>✅I love this photo✌!!!!</t>
  </si>
  <si>
    <t>24/02/2017, 21:44:34</t>
  </si>
  <si>
    <t>https://www.instagram.com/thegardenopenmall</t>
  </si>
  <si>
    <t>https://instagram.fcgh5-1.fna.fbcdn.net/v/t51.2885-19/164040998_751094979112949_634308765847915705_n.jpg?stp=dst-jpg_s150x150_tt6&amp;efg=eyJ2ZW5jb2RlX3RhZyI6InByb2ZpbGVfcGljLmRqYW5nby41MDMuYzIifQ&amp;_nc_ht=instagram.fcgh5-1.fna.fbcdn.net&amp;_nc_cat=105&amp;_nc_oc=Q6cZ2gEbpIwRkbDtNphcom6Z19_9vWGNcGiAvlfCr-7Rj66AaYTtC-2ArPXPH4yuvi_i2bkmVD8UC9MfzVQVi3PQ9yjg&amp;_nc_ohc=LTNRUD6ouE0Q7kNvwG_geLz&amp;_nc_gid=X6dK73aVGWSaKvm04W4jVw&amp;edm=AI-cjbYBAAAA&amp;ccb=7-5&amp;oh=00_Af1T-1ZacxQ02FkQzUYwzASPG0A6E6Wu2NB8BeG3pLk9Ow&amp;oe=69D8D3E9&amp;_nc_sid=0985b0</t>
  </si>
  <si>
    <t>https://instagram.fcgh5-1.fna.fbcdn.net/v/t51.2885-19/164040998_751094979112949_634308765847915705_n.jpg?stp=dst-jpg_s150x150_tt6&amp;efg=eyJ2ZW5jb2RlX3RhZyI6InByb2ZpbGVfcGljLmRqYW5nby41MDMuYzIifQ&amp;_nc_ht=instagram.fcgh5-1.fna.fbcdn.net&amp;_nc_cat=105&amp;_nc_oc=Q6cZ2gEE1d7D0roJgGSlJlM0DWCWmrVyL3YNBAt47a-ijmnmFoPRPVxos6k9VslXJEJa4Nd_MsqMG19bnhbmOLtPHV4u&amp;_nc_ohc=LTNRUD6ouE0Q7kNvwG_geLz&amp;_nc_gid=4JAPNBK5qJFOb2Tn0ApIRA&amp;edm=AI-cjbYBAAAA&amp;ccb=7-5&amp;oh=00_Af1NfCPqHWz05KKUVDwvG5EaM4iLHbSQv9ukogZq11X2gw&amp;oe=69D8D3E9&amp;_nc_sid=0985b0</t>
  </si>
  <si>
    <t>😃✌!</t>
  </si>
  <si>
    <t>24/02/2017, 18:52:38</t>
  </si>
  <si>
    <t>https://instagram.fcgh5-1.fna.fbcdn.net/v/t51.2885-19/164040998_751094979112949_634308765847915705_n.jpg?stp=dst-jpg_s150x150_tt6&amp;efg=eyJ2ZW5jb2RlX3RhZyI6InByb2ZpbGVfcGljLmRqYW5nby41MDMuYzIifQ&amp;_nc_ht=instagram.fcgh5-1.fna.fbcdn.net&amp;_nc_cat=105&amp;_nc_oc=Q6cZ2gFzBRzCl5zmAHUa3sS8pVPCyKjfn6rzcZ5iGqSUgXm8jxj_FkuTOCKHG4dvwiRAYmXOYd5ernNEHAU_LoIYksd2&amp;_nc_ohc=LTNRUD6ouE0Q7kNvwG_geLz&amp;_nc_gid=yk3TIMtaL97hYg2ZTjwTKg&amp;edm=AI-cjbYBAAAA&amp;ccb=7-5&amp;oh=00_Af16ghCjK_p9mcUIAuG9dIN_j_6g8nXsB1PdzmC4q0uMrA&amp;oe=69D8D3E9&amp;_nc_sid=0985b0</t>
  </si>
  <si>
    <t>fernandopalaciosoaxaca</t>
  </si>
  <si>
    <t>me encantó</t>
  </si>
  <si>
    <t>27/02/2017, 11:17:20</t>
  </si>
  <si>
    <t>https://www.instagram.com/fernandopalaciosoaxaca</t>
  </si>
  <si>
    <t>https://instagram.fcgh5-2.fna.fbcdn.net/v/t51.2885-19/485279411_662018499764274_7694646398816530978_n.jpg?stp=dst-jpg_s150x150_tt6&amp;efg=eyJ2ZW5jb2RlX3RhZyI6InByb2ZpbGVfcGljLmRqYW5nby43NDguYzIifQ&amp;_nc_ht=instagram.fcgh5-2.fna.fbcdn.net&amp;_nc_cat=106&amp;_nc_oc=Q6cZ2gFzBRzCl5zmAHUa3sS8pVPCyKjfn6rzcZ5iGqSUgXm8jxj_FkuTOCKHG4dvwiRAYmXOYd5ernNEHAU_LoIYksd2&amp;_nc_ohc=Ti-pFh7iZf4Q7kNvwED1ff0&amp;_nc_gid=yk3TIMtaL97hYg2ZTjwTKg&amp;edm=AI-cjbYBAAAA&amp;ccb=7-5&amp;oh=00_Af11-m6FlDCZe7hRbw8mdgLk33VNFw7_G7RZbZmUJApxLQ&amp;oe=69D8D8C2&amp;_nc_sid=0985b0</t>
  </si>
  <si>
    <t>https://instagram.fcgh5-1.fna.fbcdn.net/v/t51.2885-19/164040998_751094979112949_634308765847915705_n.jpg?stp=dst-jpg_s150x150_tt6&amp;efg=eyJ2ZW5jb2RlX3RhZyI6InByb2ZpbGVfcGljLmRqYW5nby41MDMuYzIifQ&amp;_nc_ht=instagram.fcgh5-1.fna.fbcdn.net&amp;_nc_cat=105&amp;_nc_oc=Q6cZ2gFh3ziL_zxkae7lRlp7UZer-fC44JIqzbwKMiYlkAF9tpjK9-orH7CnUQJSjy7D6-3EXaF17gTqJ7qY74zecfGC&amp;_nc_ohc=LTNRUD6ouE0Q7kNvwG_geLz&amp;_nc_gid=UUy2kfRA_3Dx01FJ1j1jmg&amp;edm=AI-cjbYBAAAA&amp;ccb=7-5&amp;oh=00_Af2Ox7BjjlDy_5p4Ou-3wqf5qt1NgrgedhoEHeuiAmRyTw&amp;oe=69D8D3E9&amp;_nc_sid=0985b0</t>
  </si>
  <si>
    <t>https://instagram.fcgh5-2.fna.fbcdn.net/v/t51.2885-19/485279411_662018499764274_7694646398816530978_n.jpg?stp=dst-jpg_s150x150_tt6&amp;efg=eyJ2ZW5jb2RlX3RhZyI6InByb2ZpbGVfcGljLmRqYW5nby43NDguYzIifQ&amp;_nc_ht=instagram.fcgh5-2.fna.fbcdn.net&amp;_nc_cat=106&amp;_nc_oc=Q6cZ2gFh3ziL_zxkae7lRlp7UZer-fC44JIqzbwKMiYlkAF9tpjK9-orH7CnUQJSjy7D6-3EXaF17gTqJ7qY74zecfGC&amp;_nc_ohc=Ti-pFh7iZf4Q7kNvwED1ff0&amp;_nc_gid=UUy2kfRA_3Dx01FJ1j1jmg&amp;edm=AI-cjbYBAAAA&amp;ccb=7-5&amp;oh=00_Af1Ei9Pq_2p9fb04JG04naxJyFFr_hR0RE4VQU3OVeUfEQ&amp;oe=69D8D8C2&amp;_nc_sid=0985b0</t>
  </si>
  <si>
    <t>👏👏👏👏</t>
  </si>
  <si>
    <t>24/02/2017, 19:04:20</t>
  </si>
  <si>
    <t>https://instagram.fcgh5-2.fna.fbcdn.net/v/t51.2885-19/132958402_146938883637264_2643636646524653509_n.jpg?stp=dst-jpg_s150x150_tt6&amp;efg=eyJ2ZW5jb2RlX3RhZyI6InByb2ZpbGVfcGljLmRqYW5nby4xMDgwLmMyIn0&amp;_nc_ht=instagram.fcgh5-2.fna.fbcdn.net&amp;_nc_cat=100&amp;_nc_oc=Q6cZ2gFDo-ay5qn524Cg8KUKqT0rax7X_Tqp6QQW0XZVn1t1heeaNDE4aFRuH6L-eHhwgORhSvy2zUsOya-fxWouV12S&amp;_nc_ohc=Ro3yAe5dMlgQ7kNvwHuhbU8&amp;_nc_gid=dg6PAske66C_Kv-W3JIiCg&amp;edm=AI-cjbYBAAAA&amp;ccb=7-5&amp;oh=00_Af28PINlAtnhnpz3cdqE3EI53yLj7CipowO7UyESisCyxQ&amp;oe=69D8F9D6&amp;_nc_sid=0985b0</t>
  </si>
  <si>
    <t>kuriuwahotel</t>
  </si>
  <si>
    <t>Muito legal 😄</t>
  </si>
  <si>
    <t>27/02/2017, 13:47:30</t>
  </si>
  <si>
    <t>https://www.instagram.com/kuriuwahotel</t>
  </si>
  <si>
    <t>https://instagram.fcgh5-2.fna.fbcdn.net/v/t51.2885-19/94123129_530093924546167_1885461419986518016_n.jpg?stp=dst-jpg_s150x150_tt6&amp;efg=eyJ2ZW5jb2RlX3RhZyI6InByb2ZpbGVfcGljLmRqYW5nby43MDAuYzIifQ&amp;_nc_ht=instagram.fcgh5-2.fna.fbcdn.net&amp;_nc_cat=107&amp;_nc_oc=Q6cZ2gFDo-ay5qn524Cg8KUKqT0rax7X_Tqp6QQW0XZVn1t1heeaNDE4aFRuH6L-eHhwgORhSvy2zUsOya-fxWouV12S&amp;_nc_ohc=z1q42r02tW4Q7kNvwHbAzCJ&amp;_nc_gid=dg6PAske66C_Kv-W3JIiCg&amp;edm=AI-cjbYBAAAA&amp;ccb=7-5&amp;oh=00_Af1gtaHG7EDF7dCu7QeviQZxOPldAwmctLafuEEspcg62Q&amp;oe=69D8EABE&amp;_nc_sid=0985b0</t>
  </si>
  <si>
    <t>emporiobenavides</t>
  </si>
  <si>
    <t>Top!</t>
  </si>
  <si>
    <t>27/02/2017, 16:28:08</t>
  </si>
  <si>
    <t>https://www.instagram.com/emporiobenavides</t>
  </si>
  <si>
    <t>https://instagram.fcgh5-1.fna.fbcdn.net/v/t51.2885-19/197267168_484577619423236_3839831725774970485_n.jpg?stp=dst-jpg_s150x150_tt6&amp;efg=eyJ2ZW5jb2RlX3RhZyI6InByb2ZpbGVfcGljLmRqYW5nby4xMDAwLmMyIn0&amp;_nc_ht=instagram.fcgh5-1.fna.fbcdn.net&amp;_nc_cat=108&amp;_nc_oc=Q6cZ2gFDo-ay5qn524Cg8KUKqT0rax7X_Tqp6QQW0XZVn1t1heeaNDE4aFRuH6L-eHhwgORhSvy2zUsOya-fxWouV12S&amp;_nc_ohc=QFYRsTt6hkUQ7kNvwEgq1gz&amp;_nc_gid=dg6PAske66C_Kv-W3JIiCg&amp;edm=AI-cjbYBAAAA&amp;ccb=7-5&amp;oh=00_Af2_IiP8_3eeE8VhXlClxyBk05R34D5XoQSuRqjG2XNXxQ&amp;oe=69D8CD61&amp;_nc_sid=0985b0</t>
  </si>
  <si>
    <t>teofereco</t>
  </si>
  <si>
    <t>✅.</t>
  </si>
  <si>
    <t>06/03/2017, 01:10:53</t>
  </si>
  <si>
    <t>https://www.instagram.com/teofereco</t>
  </si>
  <si>
    <t>https://instagram.fcgh5-1.fna.fbcdn.net/v/t51.2885-19/11856674_1470369413290799_311732015_a.jpg?stp=dst-jpg_s150x150_tt6&amp;efg=eyJ2ZW5jb2RlX3RhZyI6InByb2ZpbGVfcGljLmRqYW5nby4xNTAuYzIifQ&amp;_nc_ht=instagram.fcgh5-1.fna.fbcdn.net&amp;_nc_cat=111&amp;_nc_oc=Q6cZ2gFDo-ay5qn524Cg8KUKqT0rax7X_Tqp6QQW0XZVn1t1heeaNDE4aFRuH6L-eHhwgORhSvy2zUsOya-fxWouV12S&amp;_nc_ohc=eUUiBZ9UM7MQ7kNvwGMATVL&amp;_nc_gid=dg6PAske66C_Kv-W3JIiCg&amp;edm=AI-cjbYBAAAA&amp;ccb=7-5&amp;oh=00_Af3T6YoQGov8BCzQAu4OarwXYOGVNomDHznDUYoFc25QVw&amp;oe=69D8FBC6&amp;_nc_sid=0985b0</t>
  </si>
  <si>
    <t>blanksheetofficial</t>
  </si>
  <si>
    <t>Great photo, what phone/camera are you using? 😆😆😆</t>
  </si>
  <si>
    <t>06/02/2017, 07:47:16</t>
  </si>
  <si>
    <t>https://www.instagram.com/blanksheetofficial</t>
  </si>
  <si>
    <t>https://instagram.fcgh5-2.fna.fbcdn.net/v/t51.2885-19/75566981_2614799508742170_5511301484471386112_n.jpg?stp=dst-jpg_s150x150_tt6&amp;efg=eyJ2ZW5jb2RlX3RhZyI6InByb2ZpbGVfcGljLmRqYW5nby44MzMuYzIifQ&amp;_nc_ht=instagram.fcgh5-2.fna.fbcdn.net&amp;_nc_cat=106&amp;_nc_oc=Q6cZ2gGZUmwMTzM47S3sgWZ6qOUC8hcrS74PR9-8LWjtBlg2A7Ft5CxFWzZkrUPw2RKqz0kdqVNSw8XmQhwmKrfAjYTq&amp;_nc_ohc=y4TX0S32a1YQ7kNvwG-UQMI&amp;_nc_gid=XNQK37QVfvCJ2lNsMa-R4g&amp;edm=AI-cjbYBAAAA&amp;ccb=7-5&amp;oh=00_Af19HRnZB-qPOcZ6AVj-AQoUsjv3OEZgImZheDoHQXIEmg&amp;oe=69D90470&amp;_nc_sid=0985b0</t>
  </si>
  <si>
    <t>outtheremag</t>
  </si>
  <si>
    <t>👏👏👏 really cool</t>
  </si>
  <si>
    <t>06/02/2017, 19:44:55</t>
  </si>
  <si>
    <t>https://www.instagram.com/outtheremag</t>
  </si>
  <si>
    <t>https://instagram.fcgh5-2.fna.fbcdn.net/v/t51.82787-19/657613401_18574565860015060_6888981692581845133_n.jpg?stp=dst-jpg_s150x150_tt6&amp;efg=eyJ2ZW5jb2RlX3RhZyI6InByb2ZpbGVfcGljLmRqYW5nby4xMDgwLmMyIn0&amp;_nc_ht=instagram.fcgh5-2.fna.fbcdn.net&amp;_nc_cat=104&amp;_nc_oc=Q6cZ2gGZUmwMTzM47S3sgWZ6qOUC8hcrS74PR9-8LWjtBlg2A7Ft5CxFWzZkrUPw2RKqz0kdqVNSw8XmQhwmKrfAjYTq&amp;_nc_ohc=OxFxnN7b4w4Q7kNvwGHDZHn&amp;_nc_gid=XNQK37QVfvCJ2lNsMa-R4g&amp;edm=AI-cjbYBAAAA&amp;ccb=7-5&amp;oh=00_Af0jfbzGvVug9wP59m_elUFE1BQVDyr1pji1p-UtSnYqug&amp;oe=69D8FE04&amp;_nc_sid=0985b0</t>
  </si>
  <si>
    <t>elaine_kim</t>
  </si>
  <si>
    <t>love that!</t>
  </si>
  <si>
    <t>10/02/2017, 06:10:33</t>
  </si>
  <si>
    <t>https://www.instagram.com/elaine_kim</t>
  </si>
  <si>
    <t>https://instagram.fcgh5-2.fna.fbcdn.net/v/t51.2885-19/367531046_1473158596886544_943963640184106396_n.jpg?stp=dst-jpg_s150x150_tt6&amp;efg=eyJ2ZW5jb2RlX3RhZyI6InByb2ZpbGVfcGljLmRqYW5nby4xMDgwLmMyIn0&amp;_nc_ht=instagram.fcgh5-2.fna.fbcdn.net&amp;_nc_cat=100&amp;_nc_oc=Q6cZ2gGZUmwMTzM47S3sgWZ6qOUC8hcrS74PR9-8LWjtBlg2A7Ft5CxFWzZkrUPw2RKqz0kdqVNSw8XmQhwmKrfAjYTq&amp;_nc_ohc=XKPJiGPaSQ8Q7kNvwFfcJQK&amp;_nc_gid=XNQK37QVfvCJ2lNsMa-R4g&amp;edm=AI-cjbYBAAAA&amp;ccb=7-5&amp;oh=00_Af1cWCY0w6n2xQib5K9fUjTUva6ZNRC6vyN304IfgUliNA&amp;oe=69D8FE1B&amp;_nc_sid=0985b0</t>
  </si>
  <si>
    <t>delicadadoces</t>
  </si>
  <si>
    <t>11/02/2017, 02:19:33</t>
  </si>
  <si>
    <t>https://www.instagram.com/delicadadoces</t>
  </si>
  <si>
    <t>https://instagram.fcgh5-1.fna.fbcdn.net/v/t51.82787-19/551676907_18527808175000865_659869147074122740_n.jpg?stp=dst-jpg_s150x150_tt6&amp;efg=eyJ2ZW5jb2RlX3RhZyI6InByb2ZpbGVfcGljLmRqYW5nby4xMDgwLmMyIn0&amp;_nc_ht=instagram.fcgh5-1.fna.fbcdn.net&amp;_nc_cat=105&amp;_nc_oc=Q6cZ2gGZUmwMTzM47S3sgWZ6qOUC8hcrS74PR9-8LWjtBlg2A7Ft5CxFWzZkrUPw2RKqz0kdqVNSw8XmQhwmKrfAjYTq&amp;_nc_ohc=zAzlXBUiZs8Q7kNvwGIIycD&amp;_nc_gid=XNQK37QVfvCJ2lNsMa-R4g&amp;edm=AI-cjbYBAAAA&amp;ccb=7-5&amp;oh=00_Af3jARMws8zZd9-Dce3wukoc0UMXPSd70NKbxDNDrIHVDg&amp;oe=69D903F2&amp;_nc_sid=0985b0</t>
  </si>
  <si>
    <t>mattspark_</t>
  </si>
  <si>
    <t>Great photo!</t>
  </si>
  <si>
    <t>15/02/2017, 02:25:23</t>
  </si>
  <si>
    <t>https://www.instagram.com/mattspark_</t>
  </si>
  <si>
    <t>https://instagram.fcgh5-2.fna.fbcdn.net/v/t51.2885-19/473652115_1239859620431010_3945586605427541893_n.jpg?stp=dst-jpg_s150x150_tt6&amp;efg=eyJ2ZW5jb2RlX3RhZyI6InByb2ZpbGVfcGljLmRqYW5nby4zMjAuYzIifQ&amp;_nc_ht=instagram.fcgh5-2.fna.fbcdn.net&amp;_nc_cat=106&amp;_nc_oc=Q6cZ2gGASTJNlBW74BEhCFH0XcLMDTHuhns9P4WCwhLbIVP8cd6z-S-tKbIGOR28yq94AwuBl6rSdRsWR7GDZzM2hxlw&amp;_nc_ohc=q2ijC-WwU0AQ7kNvwHfHp1i&amp;_nc_gid=Tvt_GdDeLRAO7QuDuSiS7A&amp;edm=AI-cjbYBAAAA&amp;ccb=7-5&amp;oh=00_Af1x9vUfQwmGvJoLCS6n3V24_bebCs-k7mFNvJc4xLVMUw&amp;oe=69D8DDF3&amp;_nc_sid=0985b0</t>
  </si>
  <si>
    <t>lifemais</t>
  </si>
  <si>
    <t>😊✌ !</t>
  </si>
  <si>
    <t>15/02/2017, 23:09:37</t>
  </si>
  <si>
    <t>https://www.instagram.com/lifemais</t>
  </si>
  <si>
    <t>https://instagram.fcgh5-2.fna.fbcdn.net/v/t51.2885-19/12277432_1636861523198004_483568570_a.jpg?stp=dst-jpg_s150x150_tt6&amp;efg=eyJ2ZW5jb2RlX3RhZyI6InByb2ZpbGVfcGljLmRqYW5nby4zMDAuYzIifQ&amp;_nc_ht=instagram.fcgh5-2.fna.fbcdn.net&amp;_nc_cat=100&amp;_nc_oc=Q6cZ2gGASTJNlBW74BEhCFH0XcLMDTHuhns9P4WCwhLbIVP8cd6z-S-tKbIGOR28yq94AwuBl6rSdRsWR7GDZzM2hxlw&amp;_nc_ohc=IfokBUZftOcQ7kNvwHRwIGw&amp;_nc_gid=Tvt_GdDeLRAO7QuDuSiS7A&amp;edm=AI-cjbYBAAAA&amp;ccb=7-5&amp;oh=00_Af0BUPlmSxHNsuigRTPLqq6FA2B-gKftD7Ydzm893cJomg&amp;oe=69D8D152&amp;_nc_sid=0985b0</t>
  </si>
  <si>
    <t>istanbulturkiye.explore</t>
  </si>
  <si>
    <t>keep exploring!</t>
  </si>
  <si>
    <t>18/02/2017, 11:08:14</t>
  </si>
  <si>
    <t>https://www.instagram.com/istanbulturkiye.explore</t>
  </si>
  <si>
    <t>https://instagram.fcgh5-2.fna.fbcdn.net/v/t51.2885-19/410102151_220264941120460_3181196531149455231_n.jpg?stp=dst-jpg_s150x150_tt6&amp;efg=eyJ2ZW5jb2RlX3RhZyI6InByb2ZpbGVfcGljLmRqYW5nby41OTEuYzIifQ&amp;_nc_ht=instagram.fcgh5-2.fna.fbcdn.net&amp;_nc_cat=104&amp;_nc_oc=Q6cZ2gGASTJNlBW74BEhCFH0XcLMDTHuhns9P4WCwhLbIVP8cd6z-S-tKbIGOR28yq94AwuBl6rSdRsWR7GDZzM2hxlw&amp;_nc_ohc=Upfywss7AZcQ7kNvwE74A0o&amp;_nc_gid=Tvt_GdDeLRAO7QuDuSiS7A&amp;edm=AI-cjbYBAAAA&amp;ccb=7-5&amp;oh=00_Af0T5x4asq2x0D4yVU1rgX3U01mgerbNblluw4vHj67zAg&amp;oe=69D8CD3C&amp;_nc_sid=0985b0</t>
  </si>
  <si>
    <t>tripscout</t>
  </si>
  <si>
    <t>20/02/2017, 16:39:03</t>
  </si>
  <si>
    <t>https://www.instagram.com/tripscout</t>
  </si>
  <si>
    <t>https://instagram.fcgh5-1.fna.fbcdn.net/v/t51.2885-19/409858108_367364839165910_2209552180720625305_n.jpg?stp=dst-jpg_s150x150_tt6&amp;efg=eyJ2ZW5jb2RlX3RhZyI6InByb2ZpbGVfcGljLmRqYW5nby41OTEuYzIifQ&amp;_nc_ht=instagram.fcgh5-1.fna.fbcdn.net&amp;_nc_cat=102&amp;_nc_oc=Q6cZ2gGASTJNlBW74BEhCFH0XcLMDTHuhns9P4WCwhLbIVP8cd6z-S-tKbIGOR28yq94AwuBl6rSdRsWR7GDZzM2hxlw&amp;_nc_ohc=uoBtHJY1gXsQ7kNvwGZ_MUK&amp;_nc_gid=Tvt_GdDeLRAO7QuDuSiS7A&amp;edm=AI-cjbYBAAAA&amp;ccb=7-5&amp;oh=00_Af33NCrtkT8Q-QGQMiiHuyirKK1-9A1Knqo-gSzN9Hemow&amp;oe=69D900FA&amp;_nc_sid=0985b0</t>
  </si>
  <si>
    <t>vivons_reunion</t>
  </si>
  <si>
    <t>Yes cool photo wahouuuu</t>
  </si>
  <si>
    <t>26/11/2018, 14:41:12</t>
  </si>
  <si>
    <t>https://www.instagram.com/vivons_reunion</t>
  </si>
  <si>
    <t>https://instagram.fcgh5-1.fna.fbcdn.net/v/t51.2885-19/411218184_872338171046744_2253908087781165034_n.jpg?stp=dst-jpg_s150x150_tt6&amp;efg=eyJ2ZW5jb2RlX3RhZyI6InByb2ZpbGVfcGljLmRqYW5nby4xMDgwLmMyIn0&amp;_nc_ht=instagram.fcgh5-1.fna.fbcdn.net&amp;_nc_cat=108&amp;_nc_oc=Q6cZ2gEU9P5jQJBNhEdRmyVwsIUk_kyVm_xSn0eXRED84lKLvkJQnXmAYG12g7aQw2HT3iXRfy3AsJKQ0bhvbQBUih28&amp;_nc_ohc=Eg_pBZbhGucQ7kNvwEO1ki3&amp;_nc_gid=rdW4JHnQmweTQ4REwqYzbA&amp;edm=AI-cjbYBAAAA&amp;ccb=7-5&amp;oh=00_Af1ilrZwz3B_LpVxPW8rHD1RIMmvcdHDtfkoay6BTO3srQ&amp;oe=69D8C1FF&amp;_nc_sid=0985b0</t>
  </si>
  <si>
    <t>saoconradobar</t>
  </si>
  <si>
    <t>Demais! 😍</t>
  </si>
  <si>
    <t>20/02/2017, 23:51:45</t>
  </si>
  <si>
    <t>https://www.instagram.com/saoconradobar</t>
  </si>
  <si>
    <t>https://instagram.fcgh5-1.fna.fbcdn.net/v/t51.82787-19/627822236_18448048855098550_8270836379877970315_n.jpg?stp=dst-jpg_s150x150_tt6&amp;efg=eyJ2ZW5jb2RlX3RhZyI6InByb2ZpbGVfcGljLmRqYW5nby42OTIuYzIifQ&amp;_nc_ht=instagram.fcgh5-1.fna.fbcdn.net&amp;_nc_cat=110&amp;_nc_oc=Q6cZ2gGGTKf1pI2qSx1TR6XfychWti4qOiQ5ra4zS4TfBw8XYTPw5bjsNWxNMy6-_xD8xqe8Egj-HrvkzNjcAoMV4tlD&amp;_nc_ohc=zPNpoZ_tPiQQ7kNvwFKMqF9&amp;_nc_gid=Qd--wWx0QTyS-4F7lDRjHg&amp;edm=AI-cjbYBAAAA&amp;ccb=7-5&amp;oh=00_Af3G0eEBsJFq_nPoQn0qQ6eYfXBhJuEjDN8-4VfvR3Hb3w&amp;oe=69D8E702&amp;_nc_sid=0985b0</t>
  </si>
  <si>
    <t>mamute99</t>
  </si>
  <si>
    <t>😄👍</t>
  </si>
  <si>
    <t>21/02/2017, 00:29:06</t>
  </si>
  <si>
    <t>https://www.instagram.com/mamute99</t>
  </si>
  <si>
    <t>https://instagram.fcgh5-2.fna.fbcdn.net/v/t51.2885-19/505167711_18516882172032892_5936870699594818127_n.jpg?stp=dst-jpg_s150x150_tt6&amp;efg=eyJ2ZW5jb2RlX3RhZyI6InByb2ZpbGVfcGljLmRqYW5nby4xMDgwLmMyIn0&amp;_nc_ht=instagram.fcgh5-2.fna.fbcdn.net&amp;_nc_cat=104&amp;_nc_oc=Q6cZ2gGGTKf1pI2qSx1TR6XfychWti4qOiQ5ra4zS4TfBw8XYTPw5bjsNWxNMy6-_xD8xqe8Egj-HrvkzNjcAoMV4tlD&amp;_nc_ohc=fzbpIEVy7xAQ7kNvwFB_1Ta&amp;_nc_gid=Qd--wWx0QTyS-4F7lDRjHg&amp;edm=AI-cjbYBAAAA&amp;ccb=7-5&amp;oh=00_Af0iv-71hVNDiTzY3vMkttuPDP2Z5zNs876RNZbOlTuerA&amp;oe=69D8D9F3&amp;_nc_sid=0985b0</t>
  </si>
  <si>
    <t>swayy.me</t>
  </si>
  <si>
    <t>Fab!</t>
  </si>
  <si>
    <t>22/02/2017, 20:24:02</t>
  </si>
  <si>
    <t>https://www.instagram.com/swayy.me</t>
  </si>
  <si>
    <t>https://instagram.fcgh5-2.fna.fbcdn.net/v/t51.2885-19/54277325_368924100629188_7191688249117507584_n.jpg?stp=dst-jpg_s150x150_tt6&amp;efg=eyJ2ZW5jb2RlX3RhZyI6InByb2ZpbGVfcGljLmRqYW5nby43NTAuYzIifQ&amp;_nc_ht=instagram.fcgh5-2.fna.fbcdn.net&amp;_nc_cat=104&amp;_nc_oc=Q6cZ2gGGTKf1pI2qSx1TR6XfychWti4qOiQ5ra4zS4TfBw8XYTPw5bjsNWxNMy6-_xD8xqe8Egj-HrvkzNjcAoMV4tlD&amp;_nc_ohc=096kLNYb174Q7kNvwEKaE3P&amp;_nc_gid=Qd--wWx0QTyS-4F7lDRjHg&amp;edm=AI-cjbYBAAAA&amp;ccb=7-5&amp;oh=00_Af2bF_LIa9BV6gAJ2yek8dggOgLRC1tnT9ic51GZNi9enA&amp;oe=69D8EAE0&amp;_nc_sid=0985b0</t>
  </si>
  <si>
    <t>mirantedacolynahotelspa</t>
  </si>
  <si>
    <t>Linda foto 🙌</t>
  </si>
  <si>
    <t>22/02/2017, 20:52:45</t>
  </si>
  <si>
    <t>https://www.instagram.com/mirantedacolynahotelspa</t>
  </si>
  <si>
    <t>https://instagram.fcgh5-2.fna.fbcdn.net/v/t51.2885-19/278422759_522521709472380_8313131351639368405_n.jpg?stp=dst-jpg_s150x150_tt6&amp;efg=eyJ2ZW5jb2RlX3RhZyI6InByb2ZpbGVfcGljLmRqYW5nby4xMDgwLmMyIn0&amp;_nc_ht=instagram.fcgh5-2.fna.fbcdn.net&amp;_nc_cat=100&amp;_nc_oc=Q6cZ2gGGTKf1pI2qSx1TR6XfychWti4qOiQ5ra4zS4TfBw8XYTPw5bjsNWxNMy6-_xD8xqe8Egj-HrvkzNjcAoMV4tlD&amp;_nc_ohc=Fkt1ocJRZdEQ7kNvwH2by34&amp;_nc_gid=Qd--wWx0QTyS-4F7lDRjHg&amp;edm=AI-cjbYBAAAA&amp;ccb=7-5&amp;oh=00_Af25zGZphwZ6Vdy96mq4-7MvBtwgSikHLROGI2bKvz7F9A&amp;oe=69D8E50F&amp;_nc_sid=0985b0</t>
  </si>
  <si>
    <t>lucy.winthrop</t>
  </si>
  <si>
    <t>Terrific</t>
  </si>
  <si>
    <t>20/03/2017, 17:55:48</t>
  </si>
  <si>
    <t>https://www.instagram.com/lucy.winthrop</t>
  </si>
  <si>
    <t>https://instagram.fcgh5-2.fna.fbcdn.net/v/t51.2885-19/51147018_2106980026058775_2667273831546093568_n.jpg?stp=dst-jpg_s150x150_tt6&amp;efg=eyJ2ZW5jb2RlX3RhZyI6InByb2ZpbGVfcGljLmRqYW5nby43NTAuYzIifQ&amp;_nc_ht=instagram.fcgh5-2.fna.fbcdn.net&amp;_nc_cat=103&amp;_nc_oc=Q6cZ2gH2meVmeCn_MnDNAqB32vSWlhIKJPu3KvuaAKj0HPlf6aF5hTEc2AxpA1bYfwbl-71nBqRUR7zOV2Q-IkMYZkbu&amp;_nc_ohc=w1-PrW0KmskQ7kNvwFFi07k&amp;_nc_gid=Y8kNwFj2SDGHkujg3xa41g&amp;edm=AI-cjbYBAAAA&amp;ccb=7-5&amp;oh=00_Af2R6wsfcLROTWqyvi59k1chOoum_ENCAqy_gXk4xgSFHw&amp;oe=69D8D42D&amp;_nc_sid=0985b0</t>
  </si>
  <si>
    <t>flyme360magazine</t>
  </si>
  <si>
    <t>Wow like it!</t>
  </si>
  <si>
    <t>20/03/2017, 20:55:05</t>
  </si>
  <si>
    <t>https://www.instagram.com/flyme360magazine</t>
  </si>
  <si>
    <t>https://instagram.fcgh5-1.fna.fbcdn.net/v/t51.2885-19/11353049_1507277142896385_1471884151_a.jpg?stp=dst-jpg_s150x150_tt6&amp;efg=eyJ2ZW5jb2RlX3RhZyI6InByb2ZpbGVfcGljLmRqYW5nby4xNTAuYzIifQ&amp;_nc_ht=instagram.fcgh5-1.fna.fbcdn.net&amp;_nc_cat=109&amp;_nc_oc=Q6cZ2gFmNcGRm2yDbWVgQmTSCz7s_FRTFVaWQKIpv3p8BXV0x3YuCXMEkV2mg6NpdKvp4Dbcao_wdP0C22wS6m2asB36&amp;_nc_ohc=X995kELii6sQ7kNvwETUzJZ&amp;_nc_gid=lguKNyu__vf8TfxBfYx8Lw&amp;edm=AI-cjbYBAAAA&amp;ccb=7-5&amp;oh=00_Af1ySx2wWXtihDGs7Xfla86L8fgRxGzIoIMs3ksYHOp3yQ&amp;oe=69D8DEFC&amp;_nc_sid=0985b0</t>
  </si>
  <si>
    <t>https://instagram.fcgh5-1.fna.fbcdn.net/v/t51.2885-19/11353049_1507277142896385_1471884151_a.jpg?stp=dst-jpg_s150x150_tt6&amp;efg=eyJ2ZW5jb2RlX3RhZyI6InByb2ZpbGVfcGljLmRqYW5nby4xNTAuYzIifQ&amp;_nc_ht=instagram.fcgh5-1.fna.fbcdn.net&amp;_nc_cat=109&amp;_nc_oc=Q6cZ2gHKiokyW44usWJ3RtR8AR0InlJa3om32g0UfA0wyWgYadsq2LOi14xj_wkFxh8efHEu8zAWcAuvu9WVY3B1BAh_&amp;_nc_ohc=X995kELii6sQ7kNvwETUzJZ&amp;_nc_gid=qhLT72KW8uoTzSj4l5vchQ&amp;edm=AI-cjbYBAAAA&amp;ccb=7-5&amp;oh=00_Af3_T73TZEBl_UllV96IBEBOU4YlaryqLIT7cRPYtJECrg&amp;oe=69D8DEFC&amp;_nc_sid=0985b0</t>
  </si>
  <si>
    <t>bestwanderlusting</t>
  </si>
  <si>
    <t>22/03/2017, 17:00:09</t>
  </si>
  <si>
    <t>https://www.instagram.com/bestwanderlusting</t>
  </si>
  <si>
    <t>https://instagram.fcgh5-1.fna.fbcdn.net/v/t51.2885-19/15803202_699991133508629_8869398188281298944_n.jpg?stp=dst-jpg_s150x150_tt6&amp;efg=eyJ2ZW5jb2RlX3RhZyI6InByb2ZpbGVfcGljLmRqYW5nby42NDAuYzIifQ&amp;_nc_ht=instagram.fcgh5-1.fna.fbcdn.net&amp;_nc_cat=105&amp;_nc_oc=Q6cZ2gG6u6StUpLHKoGQmMiKp8oZ8kS_7HnstMliVbGlcVIjc_VEOCBDBZ3wFWkES1IdnKBH6ihVvLuWK3ABKU2MseVF&amp;_nc_ohc=77uQNU3wfbYQ7kNvwG6WocY&amp;_nc_gid=_8v7K4Scblij0bnIanM0WA&amp;edm=AI-cjbYBAAAA&amp;ccb=7-5&amp;oh=00_Af2AeggCjrPksLhkJtcBjx1-U0fyK-_VmSPI8bBe6x-35A&amp;oe=69D8EF35&amp;_nc_sid=0985b0</t>
  </si>
  <si>
    <t>esuitession</t>
  </si>
  <si>
    <t>😌 😌 😌</t>
  </si>
  <si>
    <t>22/03/2017, 23:14:25</t>
  </si>
  <si>
    <t>https://www.instagram.com/esuitession</t>
  </si>
  <si>
    <t>https://instagram.fcgh5-1.fna.fbcdn.net/v/t51.2885-19/60162545_425807101581929_7853770901043544064_n.jpg?stp=dst-jpg_s150x150_tt6&amp;efg=eyJ2ZW5jb2RlX3RhZyI6InByb2ZpbGVfcGljLmRqYW5nby4xMDgwLmMyIn0&amp;_nc_ht=instagram.fcgh5-1.fna.fbcdn.net&amp;_nc_cat=105&amp;_nc_oc=Q6cZ2gG6u6StUpLHKoGQmMiKp8oZ8kS_7HnstMliVbGlcVIjc_VEOCBDBZ3wFWkES1IdnKBH6ihVvLuWK3ABKU2MseVF&amp;_nc_ohc=hLwxYU-VfH8Q7kNvwH1i83S&amp;_nc_gid=_8v7K4Scblij0bnIanM0WA&amp;edm=AI-cjbYBAAAA&amp;ccb=7-5&amp;oh=00_Af22cY-DcefyT8zCBDcCZsvcJJOSMwwTYkTJX1n9oN01Ww&amp;oe=69D8CDE6&amp;_nc_sid=0985b0</t>
  </si>
  <si>
    <t>⭐</t>
  </si>
  <si>
    <t>02/03/2017, 08:32:48</t>
  </si>
  <si>
    <t>https://instagram.fcgh5-2.fna.fbcdn.net/v/t51.2885-19/471427037_1737425047014534_1949350082727836077_n.jpg?stp=dst-jpg_s150x150_tt6&amp;efg=eyJ2ZW5jb2RlX3RhZyI6InByb2ZpbGVfcGljLmRqYW5nby43NjEuYzIifQ&amp;_nc_ht=instagram.fcgh5-2.fna.fbcdn.net&amp;_nc_cat=106&amp;_nc_oc=Q6cZ2gEoQVKSLmAPO6wFr8Mp3vJFaEmp3mXy986aVRN4zhXW9yXShg-ETN3cgB0CVF4wyTWoeBMjmRRo_uF-8ZUGK2mj&amp;_nc_ohc=592_S_-UXlAQ7kNvwEdDSNr&amp;_nc_gid=RKcrGuuhVVC_8FDKCTTgow&amp;edm=AI-cjbYBAAAA&amp;ccb=7-5&amp;oh=00_Af0Zb67-FkuktvDfdlazmtwOk-xYskDi4KGsvIPfHUgUSw&amp;oe=69D8F958&amp;_nc_sid=0985b0</t>
  </si>
  <si>
    <t>__francyoliveira</t>
  </si>
  <si>
    <t>quando abriu essa loja</t>
  </si>
  <si>
    <t>22/07/2025, 13:21:52</t>
  </si>
  <si>
    <t>https://www.instagram.com/__francyoliveira</t>
  </si>
  <si>
    <t>https://instagram.fcgh5-1.fna.fbcdn.net/v/t51.82787-19/599696136_18317044384301459_8835962052429310938_n.jpg?stp=dst-jpg_s150x150_tt6&amp;efg=eyJ2ZW5jb2RlX3RhZyI6InByb2ZpbGVfcGljLmRqYW5nby4xMDgwLmMyIn0&amp;_nc_ht=instagram.fcgh5-1.fna.fbcdn.net&amp;_nc_cat=111&amp;_nc_oc=Q6cZ2gGUZLFrfpIu5QLX1YanGDmatBHp158bo0yoUExM306-ZrOtBhYP9zzWq_TudPitaw4P8GBGVuHsvnENoXMrD0Oz&amp;_nc_ohc=3h1KIaCdmBMQ7kNvwGBMKBp&amp;_nc_gid=s5Mk6ywulWItpL77bz1l5w&amp;edm=AI-cjbYBAAAA&amp;ccb=7-5&amp;oh=00_Af3Hd2QTB3dCP8iiRZD5Fo_1LmHb6_LDyWhvsj1P0LJoMg&amp;oe=69D8DE96&amp;_nc_sid=0985b0</t>
  </si>
  <si>
    <t>flemingsmayfair</t>
  </si>
  <si>
    <t>🥂</t>
  </si>
  <si>
    <t>17/03/2017, 17:11:57</t>
  </si>
  <si>
    <t>https://www.instagram.com/flemingsmayfair</t>
  </si>
  <si>
    <t>https://instagram.fcgh5-2.fna.fbcdn.net/v/t51.82787-19/506401722_18511966384055451_366062239317732226_n.jpg?stp=dst-jpg_s150x150_tt6&amp;efg=eyJ2ZW5jb2RlX3RhZyI6InByb2ZpbGVfcGljLmRqYW5nby43MzMuYzIifQ&amp;_nc_ht=instagram.fcgh5-2.fna.fbcdn.net&amp;_nc_cat=103&amp;_nc_oc=Q6cZ2gGZAG07re_pBnEDPtYyrFT2oIlF5A2UuVWpkGAiTIBpDCIZzJECl7cVgUE1FvHI13iVVXGFkIKc14nBX4D00VnA&amp;_nc_ohc=x3hGw-3o97sQ7kNvwGvStGq&amp;_nc_gid=KnzX1up7rtSnPw7Aha0dWw&amp;edm=AI-cjbYBAAAA&amp;ccb=7-5&amp;oh=00_Af3gGipCumOfFK78fFYfzsadi9l60hjAOphtT4ei5hvzMw&amp;oe=69D8F887&amp;_nc_sid=0985b0</t>
  </si>
  <si>
    <t>hisuitesorlando</t>
  </si>
  <si>
    <t>Super sweet</t>
  </si>
  <si>
    <t>17/03/2017, 18:30:32</t>
  </si>
  <si>
    <t>https://www.instagram.com/hisuitesorlando</t>
  </si>
  <si>
    <t>https://instagram.fcgh5-1.fna.fbcdn.net/v/t51.2885-19/13150771_233721800323496_1053492362_a.jpg?stp=dst-jpg_s150x150_tt6&amp;efg=eyJ2ZW5jb2RlX3RhZyI6InByb2ZpbGVfcGljLmRqYW5nby4xMDgwLmMyIn0&amp;_nc_ht=instagram.fcgh5-1.fna.fbcdn.net&amp;_nc_cat=108&amp;_nc_oc=Q6cZ2gGZAG07re_pBnEDPtYyrFT2oIlF5A2UuVWpkGAiTIBpDCIZzJECl7cVgUE1FvHI13iVVXGFkIKc14nBX4D00VnA&amp;_nc_ohc=GpH9AgL6pmUQ7kNvwFVU0av&amp;_nc_gid=KnzX1up7rtSnPw7Aha0dWw&amp;edm=AI-cjbYBAAAA&amp;ccb=7-5&amp;oh=00_Af2hYWBk8DGCtg1eqUHFeU7K497obWn7FajZ6K4vL3MHMw&amp;oe=69D8D3A0&amp;_nc_sid=0985b0</t>
  </si>
  <si>
    <t>ldsgroup</t>
  </si>
  <si>
    <t>🚁👍</t>
  </si>
  <si>
    <t>18/03/2017, 17:49:09</t>
  </si>
  <si>
    <t>https://www.instagram.com/ldsgroup</t>
  </si>
  <si>
    <t>https://instagram.fcgh5-2.fna.fbcdn.net/v/t51.2885-19/403676802_6754312358030803_7815583835400113485_n.jpg?stp=dst-jpg_s150x150_tt6&amp;efg=eyJ2ZW5jb2RlX3RhZyI6InByb2ZpbGVfcGljLmRqYW5nby41MDIuYzIifQ&amp;_nc_ht=instagram.fcgh5-2.fna.fbcdn.net&amp;_nc_cat=107&amp;_nc_oc=Q6cZ2gGZAG07re_pBnEDPtYyrFT2oIlF5A2UuVWpkGAiTIBpDCIZzJECl7cVgUE1FvHI13iVVXGFkIKc14nBX4D00VnA&amp;_nc_ohc=dndYwX9_TAkQ7kNvwEJi2MF&amp;_nc_gid=KnzX1up7rtSnPw7Aha0dWw&amp;edm=AI-cjbYBAAAA&amp;ccb=7-5&amp;oh=00_Af0oXI1nsO0adnyEimQAp_BfyFxDP-O9dmy9RX-3EepBog&amp;oe=69D8EFEF&amp;_nc_sid=0985b0</t>
  </si>
  <si>
    <t>bercario_das_patinhas</t>
  </si>
  <si>
    <t>😉 😉 😉</t>
  </si>
  <si>
    <t>09/03/2017, 22:10:03</t>
  </si>
  <si>
    <t>https://www.instagram.com/bercario_das_patinhas</t>
  </si>
  <si>
    <t>https://instagram.fcgh5-2.fna.fbcdn.net/v/t51.2885-19/274130879_151844227288885_6246503715374239652_n.jpg?stp=dst-jpg_s150x150_tt6&amp;efg=eyJ2ZW5jb2RlX3RhZyI6InByb2ZpbGVfcGljLmRqYW5nby4xMDgwLmMyIn0&amp;_nc_ht=instagram.fcgh5-2.fna.fbcdn.net&amp;_nc_cat=101&amp;_nc_oc=Q6cZ2gFlSd1Xt6ZEJzsb-GsK_ozW26BWjDqA5igJPmvKXJmJrr7cA-T5vUpItoekqZw42Fqfl0EhGk4wiphrr0QtXjLm&amp;_nc_ohc=xbW3hH3HplEQ7kNvwEgB-i7&amp;_nc_gid=Y5RLhX6o1ZoFthYWpY-TVA&amp;edm=AI-cjbYBAAAA&amp;ccb=7-5&amp;oh=00_Af3PuENz4Z9cXVC3K6ovxpD_Q_SHb6fw9QlFZ4k62jfQpg&amp;oe=69D8F723&amp;_nc_sid=0985b0</t>
  </si>
  <si>
    <t>sonicandwatsonthedachshunds</t>
  </si>
  <si>
    <t>Great photos! 😆☺</t>
  </si>
  <si>
    <t>10/03/2017, 02:47:03</t>
  </si>
  <si>
    <t>https://www.instagram.com/sonicandwatsonthedachshunds</t>
  </si>
  <si>
    <t>https://instagram.fcgh5-1.fna.fbcdn.net/v/t51.2885-19/505153112_18508104913027637_8747781016831523413_n.jpg?stp=dst-jpg_s150x150_tt6&amp;efg=eyJ2ZW5jb2RlX3RhZyI6InByb2ZpbGVfcGljLmRqYW5nby4xMDgwLmMyIn0&amp;_nc_ht=instagram.fcgh5-1.fna.fbcdn.net&amp;_nc_cat=105&amp;_nc_oc=Q6cZ2gFlSd1Xt6ZEJzsb-GsK_ozW26BWjDqA5igJPmvKXJmJrr7cA-T5vUpItoekqZw42Fqfl0EhGk4wiphrr0QtXjLm&amp;_nc_ohc=nqYW41kAbocQ7kNvwEx0QLe&amp;_nc_gid=Y5RLhX6o1ZoFthYWpY-TVA&amp;edm=AI-cjbYBAAAA&amp;ccb=7-5&amp;oh=00_Af1vkhnX3GrE8a3gCUnmObvibjx_S4MUKWLo5OAdfPL70g&amp;oe=69D8D671&amp;_nc_sid=0985b0</t>
  </si>
  <si>
    <t>atonbot.ia</t>
  </si>
  <si>
    <t>👍👍👍🔝..</t>
  </si>
  <si>
    <t>29/03/2017, 14:26:23</t>
  </si>
  <si>
    <t>https://www.instagram.com/atonbot.ia</t>
  </si>
  <si>
    <t>https://instagram.fcgh5-2.fna.fbcdn.net/v/t51.2885-19/503851196_18484555351068001_6047573145837668024_n.jpg?stp=dst-jpg_s150x150_tt6&amp;efg=eyJ2ZW5jb2RlX3RhZyI6InByb2ZpbGVfcGljLmRqYW5nby43MDIuYzIifQ&amp;_nc_ht=instagram.fcgh5-2.fna.fbcdn.net&amp;_nc_cat=101&amp;_nc_oc=Q6cZ2gGppa3t3B76hen6nfU4YQUmOwk7mdEEJyilKXBXTWPn6HBXfBEItjqp9Ae4qABO4cUjQZbnobmNqIZQAPvEHmHx&amp;_nc_ohc=2jZwfIdsANsQ7kNvwG7_Soo&amp;_nc_gid=4_iEjHwXYQtxridJWSr1Tg&amp;edm=AI-cjbYBAAAA&amp;ccb=7-5&amp;oh=00_Af2t5QZQFIZLhpVz-LDmVJQn6paNx_VHovmqIkiCvfuskQ&amp;oe=69D8D67B&amp;_nc_sid=0985b0</t>
  </si>
  <si>
    <t>https://instagram.fcgh5-2.fna.fbcdn.net/v/t51.2885-19/503851196_18484555351068001_6047573145837668024_n.jpg?stp=dst-jpg_s150x150_tt6&amp;efg=eyJ2ZW5jb2RlX3RhZyI6InByb2ZpbGVfcGljLmRqYW5nby43MDIuYzIifQ&amp;_nc_ht=instagram.fcgh5-2.fna.fbcdn.net&amp;_nc_cat=101&amp;_nc_oc=Q6cZ2gEOh4Q75uZPlppMZIrIWK19afRn4IY8r4AHsny7xLmP5M26uGrExGeLJpnsSl1yxSBo4ZkUlpC5ttn6FFcE8OEt&amp;_nc_ohc=2jZwfIdsANsQ7kNvwG7_Soo&amp;_nc_gid=sBj8q9tU2E3tMeV6Piz_Ag&amp;edm=AI-cjbYBAAAA&amp;ccb=7-5&amp;oh=00_Af1yI8shGIGZsNbH3B-qxBWywaDjnf4QPfcUqw6UA1084w&amp;oe=69D8D67B&amp;_nc_sid=0985b0</t>
  </si>
  <si>
    <t>baysideinnkeylargo</t>
  </si>
  <si>
    <t>Yes</t>
  </si>
  <si>
    <t>25/03/2017, 02:44:59</t>
  </si>
  <si>
    <t>https://www.instagram.com/baysideinnkeylargo</t>
  </si>
  <si>
    <t>https://instagram.fcgh5-1.fna.fbcdn.net/v/t51.2885-19/87302727_2769650999815493_4037045602113028096_n.jpg?stp=dst-jpg_s150x150_tt6&amp;efg=eyJ2ZW5jb2RlX3RhZyI6InByb2ZpbGVfcGljLmRqYW5nby4xMDgwLmMyIn0&amp;_nc_ht=instagram.fcgh5-1.fna.fbcdn.net&amp;_nc_cat=105&amp;_nc_oc=Q6cZ2gHSloe7GLFVKmuUkrOfQUgong2U9RvnNSotbglQoIQMWUt4nz49HZhidm6RCSJzk_D_VzV0024f-s0YAZaBnpAB&amp;_nc_ohc=3T1UD9EwmYoQ7kNvwFlKpXQ&amp;_nc_gid=S-JFI7sgFcMIeYCDR2hd-g&amp;edm=AI-cjbYBAAAA&amp;ccb=7-5&amp;oh=00_Af2M01cU-u9P0_yFRE5HwTko-1oAuHslQt4rt7zSVut-8Q&amp;oe=69D8E572&amp;_nc_sid=0985b0</t>
  </si>
  <si>
    <t>mahaloficial</t>
  </si>
  <si>
    <t>🏄👏👏</t>
  </si>
  <si>
    <t>25/03/2017, 13:08:00</t>
  </si>
  <si>
    <t>https://www.instagram.com/mahaloficial</t>
  </si>
  <si>
    <t>https://instagram.fcgh5-2.fna.fbcdn.net/v/t51.2885-19/473734823_1112326110364359_1648571346001782465_n.jpg?stp=dst-jpg_s150x150_tt6&amp;efg=eyJ2ZW5jb2RlX3RhZyI6InByb2ZpbGVfcGljLmRqYW5nby4xMDgwLmMyIn0&amp;_nc_ht=instagram.fcgh5-2.fna.fbcdn.net&amp;_nc_cat=103&amp;_nc_oc=Q6cZ2gHSloe7GLFVKmuUkrOfQUgong2U9RvnNSotbglQoIQMWUt4nz49HZhidm6RCSJzk_D_VzV0024f-s0YAZaBnpAB&amp;_nc_ohc=IdyI9p3mYesQ7kNvwEVB2-h&amp;_nc_gid=S-JFI7sgFcMIeYCDR2hd-g&amp;edm=AI-cjbYBAAAA&amp;ccb=7-5&amp;oh=00_Af1dxRGvWdU9Ip2Hhi18Sat9S7Ux5VAgggg3qna9NVQjJw&amp;oe=69D8D4A7&amp;_nc_sid=0985b0</t>
  </si>
  <si>
    <t>foodie4thought</t>
  </si>
  <si>
    <t>#foodie4thought 😁</t>
  </si>
  <si>
    <t>27/03/2017, 07:23:48</t>
  </si>
  <si>
    <t>https://www.instagram.com/foodie4thought</t>
  </si>
  <si>
    <t>https://instagram.fcgh5-1.fna.fbcdn.net/v/t51.2885-19/11356616_1487027204948182_992111480_a.jpg?stp=dst-jpg_s150x150_tt6&amp;efg=eyJ2ZW5jb2RlX3RhZyI6InByb2ZpbGVfcGljLmRqYW5nby4xNTAuYzIifQ&amp;_nc_ht=instagram.fcgh5-1.fna.fbcdn.net&amp;_nc_cat=110&amp;_nc_oc=Q6cZ2gHSloe7GLFVKmuUkrOfQUgong2U9RvnNSotbglQoIQMWUt4nz49HZhidm6RCSJzk_D_VzV0024f-s0YAZaBnpAB&amp;_nc_ohc=jOGU53wC6bYQ7kNvwHDiazM&amp;_nc_gid=S-JFI7sgFcMIeYCDR2hd-g&amp;edm=AI-cjbYBAAAA&amp;ccb=7-5&amp;oh=00_Af1U4xI83N_DyeUFt1qj17nubMtB3-gO8B7w2Ks6WZpItQ&amp;oe=69D8D9EC&amp;_nc_sid=0985b0</t>
  </si>
  <si>
    <t>allsetconcierge</t>
  </si>
  <si>
    <t>📷 ⭐</t>
  </si>
  <si>
    <t>05/04/2017, 01:56:51</t>
  </si>
  <si>
    <t>https://www.instagram.com/allsetconcierge</t>
  </si>
  <si>
    <t>https://instagram.fcgh5-1.fna.fbcdn.net/v/t51.2885-19/14033649_1268185933240161_328646944_a.jpg?stp=dst-jpg_s150x150_tt6&amp;efg=eyJ2ZW5jb2RlX3RhZyI6InByb2ZpbGVfcGljLmRqYW5nby4xMDgwLmMyIn0&amp;_nc_ht=instagram.fcgh5-1.fna.fbcdn.net&amp;_nc_cat=109&amp;_nc_oc=Q6cZ2gGjU3lv0BX5NYqs2AMDVrjoIsqdc4hN_BytCtLch_qxniwzanJQr-gRAcG-1BpYQ4UTT5jFAC_unfKmSO6Fo5EW&amp;_nc_ohc=KcHBcZ6LNmsQ7kNvwEMYyeL&amp;_nc_gid=ZunRGghOzp2T5gG-8E-EUQ&amp;edm=AI-cjbYBAAAA&amp;ccb=7-5&amp;oh=00_Af1Uazo80RJE0LmLUmZjeTp155Fvre_BgNcE80HiSamhow&amp;oe=69D8E7F3&amp;_nc_sid=0985b0</t>
  </si>
  <si>
    <t>babasteakdxb</t>
  </si>
  <si>
    <t>Great pictures!</t>
  </si>
  <si>
    <t>06/04/2017, 06:25:19</t>
  </si>
  <si>
    <t>https://www.instagram.com/babasteakdxb</t>
  </si>
  <si>
    <t>https://instagram.fcgh5-2.fna.fbcdn.net/v/t51.2885-19/307976818_796153771699131_97881479526758120_n.jpg?stp=dst-jpg_s150x150_tt6&amp;efg=eyJ2ZW5jb2RlX3RhZyI6InByb2ZpbGVfcGljLmRqYW5nby4xMDgwLmMyIn0&amp;_nc_ht=instagram.fcgh5-2.fna.fbcdn.net&amp;_nc_cat=103&amp;_nc_oc=Q6cZ2gGjU3lv0BX5NYqs2AMDVrjoIsqdc4hN_BytCtLch_qxniwzanJQr-gRAcG-1BpYQ4UTT5jFAC_unfKmSO6Fo5EW&amp;_nc_ohc=97Tx1Qq-TD4Q7kNvwFxGikY&amp;_nc_gid=ZunRGghOzp2T5gG-8E-EUQ&amp;edm=AI-cjbYBAAAA&amp;ccb=7-5&amp;oh=00_Af2l6Qw52MWH9tQ8-DZXqBzgX0y8u0BdW652uMzBttBXnA&amp;oe=69D8E31A&amp;_nc_sid=0985b0</t>
  </si>
  <si>
    <t>clinicadeolhosmanaus</t>
  </si>
  <si>
    <t>09/04/2017, 22:36:45</t>
  </si>
  <si>
    <t>https://www.instagram.com/clinicadeolhosmanaus</t>
  </si>
  <si>
    <t>https://instagram.fcgh5-2.fna.fbcdn.net/v/t51.2885-19/128723535_402832550961267_3698597085189012833_n.jpg?stp=dst-jpg_s150x150_tt6&amp;efg=eyJ2ZW5jb2RlX3RhZyI6InByb2ZpbGVfcGljLmRqYW5nby41NjkuYzIifQ&amp;_nc_ht=instagram.fcgh5-2.fna.fbcdn.net&amp;_nc_cat=103&amp;_nc_oc=Q6cZ2gGjU3lv0BX5NYqs2AMDVrjoIsqdc4hN_BytCtLch_qxniwzanJQr-gRAcG-1BpYQ4UTT5jFAC_unfKmSO6Fo5EW&amp;_nc_ohc=ntYzuq6qy7AQ7kNvwGO2nn8&amp;_nc_gid=ZunRGghOzp2T5gG-8E-EUQ&amp;edm=AI-cjbYBAAAA&amp;ccb=7-5&amp;oh=00_Af3nTkoNLFTFbcFHrDNyYT3hCh3Sn8qIKZmlkfD-YQD4qw&amp;oe=69D8D640&amp;_nc_sid=0985b0</t>
  </si>
  <si>
    <t>https://instagram.fcgh5-1.fna.fbcdn.net/v/t51.2885-19/14033649_1268185933240161_328646944_a.jpg?stp=dst-jpg_s150x150_tt6&amp;efg=eyJ2ZW5jb2RlX3RhZyI6InByb2ZpbGVfcGljLmRqYW5nby4xMDgwLmMyIn0&amp;_nc_ht=instagram.fcgh5-1.fna.fbcdn.net&amp;_nc_cat=109&amp;_nc_oc=Q6cZ2gFzW6REey8uVyFgyLzpWBu_PC8J47CUWmB2zJREQUtsacqQ27OQc72yPuRZvgXdaQNnB0vJInp7N5TbjBK2RcrJ&amp;_nc_ohc=KcHBcZ6LNmsQ7kNvwEMYyeL&amp;_nc_gid=IXrwo4kBS1z3bUW49PGdXw&amp;edm=AI-cjbYBAAAA&amp;ccb=7-5&amp;oh=00_Af2Et3LPwDzTNg8fAz0pKgC-KX0r4uoNly-XUz5VbVL04g&amp;oe=69D8E7F3&amp;_nc_sid=0985b0</t>
  </si>
  <si>
    <t>https://instagram.fcgh5-2.fna.fbcdn.net/v/t51.2885-19/307976818_796153771699131_97881479526758120_n.jpg?stp=dst-jpg_s150x150_tt6&amp;efg=eyJ2ZW5jb2RlX3RhZyI6InByb2ZpbGVfcGljLmRqYW5nby4xMDgwLmMyIn0&amp;_nc_ht=instagram.fcgh5-2.fna.fbcdn.net&amp;_nc_cat=103&amp;_nc_oc=Q6cZ2gFzW6REey8uVyFgyLzpWBu_PC8J47CUWmB2zJREQUtsacqQ27OQc72yPuRZvgXdaQNnB0vJInp7N5TbjBK2RcrJ&amp;_nc_ohc=97Tx1Qq-TD4Q7kNvwFxGikY&amp;_nc_gid=IXrwo4kBS1z3bUW49PGdXw&amp;edm=AI-cjbYBAAAA&amp;ccb=7-5&amp;oh=00_Af0ppIqi_Bm32DGXlZxH4K40cEJP7MbqhV_1PfasMlE7XA&amp;oe=69D8E31A&amp;_nc_sid=0985b0</t>
  </si>
  <si>
    <t>https://instagram.fcgh5-2.fna.fbcdn.net/v/t51.2885-19/128723535_402832550961267_3698597085189012833_n.jpg?stp=dst-jpg_s150x150_tt6&amp;efg=eyJ2ZW5jb2RlX3RhZyI6InByb2ZpbGVfcGljLmRqYW5nby41NjkuYzIifQ&amp;_nc_ht=instagram.fcgh5-2.fna.fbcdn.net&amp;_nc_cat=103&amp;_nc_oc=Q6cZ2gFzW6REey8uVyFgyLzpWBu_PC8J47CUWmB2zJREQUtsacqQ27OQc72yPuRZvgXdaQNnB0vJInp7N5TbjBK2RcrJ&amp;_nc_ohc=ntYzuq6qy7AQ7kNvwGO2nn8&amp;_nc_gid=IXrwo4kBS1z3bUW49PGdXw&amp;edm=AI-cjbYBAAAA&amp;ccb=7-5&amp;oh=00_Af063RlyFsTvaiDiltGFGkVurrsnjX-8mfPR41E8JjxHMQ&amp;oe=69D8D640&amp;_nc_sid=0985b0</t>
  </si>
  <si>
    <t>https://instagram.fcgh5-1.fna.fbcdn.net/v/t51.2885-19/14033649_1268185933240161_328646944_a.jpg?stp=dst-jpg_s150x150_tt6&amp;efg=eyJ2ZW5jb2RlX3RhZyI6InByb2ZpbGVfcGljLmRqYW5nby4xMDgwLmMyIn0&amp;_nc_ht=instagram.fcgh5-1.fna.fbcdn.net&amp;_nc_cat=109&amp;_nc_oc=Q6cZ2gEsuEwuRoB9BrxaGwwdGFg20RMnNsvj2Nv5geCrDOeSjsAxcnMTkA58EaVFpQ8i2nnyg7TqMWhJSzIFbRCBGsGD&amp;_nc_ohc=KcHBcZ6LNmsQ7kNvwEMYyeL&amp;_nc_gid=JlapRc2VvwEKImdY6G4CRQ&amp;edm=AI-cjbYBAAAA&amp;ccb=7-5&amp;oh=00_Af1tgqPIZ_bkeFzohpQvVBcwo_PGh3_UeVJz4JRgtHPzwQ&amp;oe=69D8E7F3&amp;_nc_sid=0985b0</t>
  </si>
  <si>
    <t>https://instagram.fcgh5-2.fna.fbcdn.net/v/t51.2885-19/307976818_796153771699131_97881479526758120_n.jpg?stp=dst-jpg_s150x150_tt6&amp;efg=eyJ2ZW5jb2RlX3RhZyI6InByb2ZpbGVfcGljLmRqYW5nby4xMDgwLmMyIn0&amp;_nc_ht=instagram.fcgh5-2.fna.fbcdn.net&amp;_nc_cat=103&amp;_nc_oc=Q6cZ2gEsuEwuRoB9BrxaGwwdGFg20RMnNsvj2Nv5geCrDOeSjsAxcnMTkA58EaVFpQ8i2nnyg7TqMWhJSzIFbRCBGsGD&amp;_nc_ohc=97Tx1Qq-TD4Q7kNvwFxGikY&amp;_nc_gid=JlapRc2VvwEKImdY6G4CRQ&amp;edm=AI-cjbYBAAAA&amp;ccb=7-5&amp;oh=00_Af3CPKLDs36hM6C0wsz4koCsTF9p3YsS0lwqmly0-p9ifQ&amp;oe=69D8E31A&amp;_nc_sid=0985b0</t>
  </si>
  <si>
    <t>https://instagram.fcgh5-2.fna.fbcdn.net/v/t51.2885-19/128723535_402832550961267_3698597085189012833_n.jpg?stp=dst-jpg_s150x150_tt6&amp;efg=eyJ2ZW5jb2RlX3RhZyI6InByb2ZpbGVfcGljLmRqYW5nby41NjkuYzIifQ&amp;_nc_ht=instagram.fcgh5-2.fna.fbcdn.net&amp;_nc_cat=103&amp;_nc_oc=Q6cZ2gEsuEwuRoB9BrxaGwwdGFg20RMnNsvj2Nv5geCrDOeSjsAxcnMTkA58EaVFpQ8i2nnyg7TqMWhJSzIFbRCBGsGD&amp;_nc_ohc=ntYzuq6qy7AQ7kNvwGO2nn8&amp;_nc_gid=JlapRc2VvwEKImdY6G4CRQ&amp;edm=AI-cjbYBAAAA&amp;ccb=7-5&amp;oh=00_Af19g83_YbGOInXFzBPl2T8oTF3L2MIjUdma0oIgBuIkGQ&amp;oe=69D8D640&amp;_nc_sid=0985b0</t>
  </si>
  <si>
    <t>lebiosucos</t>
  </si>
  <si>
    <t>💚💚</t>
  </si>
  <si>
    <t>28/03/2017, 13:38:57</t>
  </si>
  <si>
    <t>https://www.instagram.com/lebiosucos</t>
  </si>
  <si>
    <t>https://instagram.fcgh5-1.fna.fbcdn.net/v/t51.2885-19/11358083_1638156099747730_608135003_a.jpg?stp=dst-jpg_s150x150_tt6&amp;efg=eyJ2ZW5jb2RlX3RhZyI6InByb2ZpbGVfcGljLmRqYW5nby4xNTAuYzIifQ&amp;_nc_ht=instagram.fcgh5-1.fna.fbcdn.net&amp;_nc_cat=110&amp;_nc_oc=Q6cZ2gG4vlt5SAYg6F23JBr2duv20S0MZ27IQ9wWVKsmgtgXL6jXwXJlFFz96CWsexO4UL0mpLSk7wNseYWstz2wWDGB&amp;_nc_ohc=fsJI4m9IQLQQ7kNvwGU8cXC&amp;_nc_gid=Bc4Yis-vyXDrqv3xEt88SA&amp;edm=AI-cjbYBAAAA&amp;ccb=7-5&amp;oh=00_Af2b7OMepymY_RVcGos1ikFzQapaf9pIFTq_jwGX-oXFtg&amp;oe=69D8DD79&amp;_nc_sid=0985b0</t>
  </si>
  <si>
    <t>chateau_la_villette</t>
  </si>
  <si>
    <t>🙏🙏</t>
  </si>
  <si>
    <t>30/03/2017, 11:28:48</t>
  </si>
  <si>
    <t>https://www.instagram.com/chateau_la_villette</t>
  </si>
  <si>
    <t>https://instagram.fcgh5-2.fna.fbcdn.net/v/t51.2885-19/333645693_865603477858765_8303432716382940222_n.jpg?stp=dst-jpg_s150x150_tt6&amp;efg=eyJ2ZW5jb2RlX3RhZyI6InByb2ZpbGVfcGljLmRqYW5nby4xMDgwLmMyIn0&amp;_nc_ht=instagram.fcgh5-2.fna.fbcdn.net&amp;_nc_cat=101&amp;_nc_oc=Q6cZ2gEhp8XRAjS3Dk0_EE6-AJJsz8lD0K8NxcTUH7Ey8tQCfBfDwkO0GLtUbdb-j4xyUoX9mPEsaElJzRbBOUo6E0B0&amp;_nc_ohc=uRZ8A7FB0Y0Q7kNvwG1FDad&amp;_nc_gid=8YzAuYP2omNEaoAGaKn1yw&amp;edm=AI-cjbYBAAAA&amp;ccb=7-5&amp;oh=00_Af0ZHh-2dtAFC_K99ugb0aL3miM_6YiyikD0ISvGbVFKiQ&amp;oe=69D8F115&amp;_nc_sid=0985b0</t>
  </si>
  <si>
    <t>t.p_producoesoficial</t>
  </si>
  <si>
    <t>31/03/2017, 01:09:07</t>
  </si>
  <si>
    <t>https://www.instagram.com/t.p_producoesoficial</t>
  </si>
  <si>
    <t>https://instagram.fcgh5-1.fna.fbcdn.net/v/t51.2885-19/126095806_816064575881063_80688100049584738_n.jpg?stp=dst-jpg_s150x150_tt6&amp;efg=eyJ2ZW5jb2RlX3RhZyI6InByb2ZpbGVfcGljLmRqYW5nby4xMDgwLmMyIn0&amp;_nc_ht=instagram.fcgh5-1.fna.fbcdn.net&amp;_nc_cat=111&amp;_nc_oc=Q6cZ2gEhp8XRAjS3Dk0_EE6-AJJsz8lD0K8NxcTUH7Ey8tQCfBfDwkO0GLtUbdb-j4xyUoX9mPEsaElJzRbBOUo6E0B0&amp;_nc_ohc=-grNRni8FGAQ7kNvwFWbyrc&amp;_nc_gid=8YzAuYP2omNEaoAGaKn1yw&amp;edm=AI-cjbYBAAAA&amp;ccb=7-5&amp;oh=00_Af3gZB_CSPFdDQPsz_jYnkvEErvh0WQH7MbFLegAxwHZpg&amp;oe=69D8E608&amp;_nc_sid=0985b0</t>
  </si>
  <si>
    <t>casa307_manaus</t>
  </si>
  <si>
    <t>☺ ☺ ☺</t>
  </si>
  <si>
    <t>01/04/2017, 07:47:38</t>
  </si>
  <si>
    <t>https://www.instagram.com/casa307_manaus</t>
  </si>
  <si>
    <t>https://instagram.fcgh5-2.fna.fbcdn.net/v/t51.2885-19/361795470_3143304702642867_5188040235207980404_n.jpg?stp=dst-jpg_s150x150_tt6&amp;efg=eyJ2ZW5jb2RlX3RhZyI6InByb2ZpbGVfcGljLmRqYW5nby4xMDgwLmMyIn0&amp;_nc_ht=instagram.fcgh5-2.fna.fbcdn.net&amp;_nc_cat=103&amp;_nc_oc=Q6cZ2gEhp8XRAjS3Dk0_EE6-AJJsz8lD0K8NxcTUH7Ey8tQCfBfDwkO0GLtUbdb-j4xyUoX9mPEsaElJzRbBOUo6E0B0&amp;_nc_ohc=KaHnrcZNIe0Q7kNvwF1XIMy&amp;_nc_gid=8YzAuYP2omNEaoAGaKn1yw&amp;edm=AI-cjbYBAAAA&amp;ccb=7-5&amp;oh=00_Af393tiFxMFrO3TMV9t7ltSFp4S4FgzvbnxSQ0TxARi-uA&amp;oe=69D8E3A2&amp;_nc_sid=0985b0</t>
  </si>
  <si>
    <t>heyparadis</t>
  </si>
  <si>
    <t>Awesome</t>
  </si>
  <si>
    <t>02/04/2017, 00:16:19</t>
  </si>
  <si>
    <t>https://www.instagram.com/heyparadis</t>
  </si>
  <si>
    <t>https://instagram.fcgh5-2.fna.fbcdn.net/v/t51.2885-19/117138424_669435263784243_7009331905372408886_n.jpg?stp=dst-jpg_s150x150_tt6&amp;efg=eyJ2ZW5jb2RlX3RhZyI6InByb2ZpbGVfcGljLmRqYW5nby4xMDgwLmMyIn0&amp;_nc_ht=instagram.fcgh5-2.fna.fbcdn.net&amp;_nc_cat=103&amp;_nc_oc=Q6cZ2gEhp8XRAjS3Dk0_EE6-AJJsz8lD0K8NxcTUH7Ey8tQCfBfDwkO0GLtUbdb-j4xyUoX9mPEsaElJzRbBOUo6E0B0&amp;_nc_ohc=lE2rd9sb7NkQ7kNvwGrNIvw&amp;_nc_gid=8YzAuYP2omNEaoAGaKn1yw&amp;edm=AI-cjbYBAAAA&amp;ccb=7-5&amp;oh=00_Af2sdKPrOQ8cfmgFIJSQdcGdiyohniQfoMFkIL2fEHtbMg&amp;oe=69D8F8AD&amp;_nc_sid=0985b0</t>
  </si>
  <si>
    <t>fasttemakioficial</t>
  </si>
  <si>
    <t>👍 👍 👍</t>
  </si>
  <si>
    <t>03/04/2017, 21:16:20</t>
  </si>
  <si>
    <t>https://www.instagram.com/fasttemakioficial</t>
  </si>
  <si>
    <t>https://instagram.fcgh5-2.fna.fbcdn.net/v/t51.2885-19/66016889_2477958829098615_4279234001866063872_n.jpg?stp=dst-jpg_s150x150_tt6&amp;efg=eyJ2ZW5jb2RlX3RhZyI6InByb2ZpbGVfcGljLmRqYW5nby41MjUuYzIifQ&amp;_nc_ht=instagram.fcgh5-2.fna.fbcdn.net&amp;_nc_cat=103&amp;_nc_oc=Q6cZ2gEhp8XRAjS3Dk0_EE6-AJJsz8lD0K8NxcTUH7Ey8tQCfBfDwkO0GLtUbdb-j4xyUoX9mPEsaElJzRbBOUo6E0B0&amp;_nc_ohc=7LanWyRAPacQ7kNvwHkthTl&amp;_nc_gid=8YzAuYP2omNEaoAGaKn1yw&amp;edm=AI-cjbYBAAAA&amp;ccb=7-5&amp;oh=00_Af18KXWJ3lV0rr80H3fEuRrROKhj44VSZiQe1dB8lX6o4A&amp;oe=69D8CA5A&amp;_nc_sid=0985b0</t>
  </si>
  <si>
    <t>https://instagram.fcgh5-2.fna.fbcdn.net/v/t51.2885-19/333645693_865603477858765_8303432716382940222_n.jpg?stp=dst-jpg_s150x150_tt6&amp;efg=eyJ2ZW5jb2RlX3RhZyI6InByb2ZpbGVfcGljLmRqYW5nby4xMDgwLmMyIn0&amp;_nc_ht=instagram.fcgh5-2.fna.fbcdn.net&amp;_nc_cat=101&amp;_nc_oc=Q6cZ2gGCQ07xE8dvfVHOdtORVmMvCDG8w_AxCyeQOKq5NxmxrKnRhpDnUDgkkcbOO9Jq__-z7DEd8oUUSAK7vA8qP613&amp;_nc_ohc=uRZ8A7FB0Y0Q7kNvwG1FDad&amp;_nc_gid=T9gbc7B1By5EF0drGoDY3Q&amp;edm=AI-cjbYBAAAA&amp;ccb=7-5&amp;oh=00_Af30ayd8UYdTZDf0HjGX5nzydw4nOL2qqLMS23XfLfb-2w&amp;oe=69D8F115&amp;_nc_sid=0985b0</t>
  </si>
  <si>
    <t>https://instagram.fcgh5-1.fna.fbcdn.net/v/t51.2885-19/126095806_816064575881063_80688100049584738_n.jpg?stp=dst-jpg_s150x150_tt6&amp;efg=eyJ2ZW5jb2RlX3RhZyI6InByb2ZpbGVfcGljLmRqYW5nby4xMDgwLmMyIn0&amp;_nc_ht=instagram.fcgh5-1.fna.fbcdn.net&amp;_nc_cat=111&amp;_nc_oc=Q6cZ2gGCQ07xE8dvfVHOdtORVmMvCDG8w_AxCyeQOKq5NxmxrKnRhpDnUDgkkcbOO9Jq__-z7DEd8oUUSAK7vA8qP613&amp;_nc_ohc=-grNRni8FGAQ7kNvwFWbyrc&amp;_nc_gid=T9gbc7B1By5EF0drGoDY3Q&amp;edm=AI-cjbYBAAAA&amp;ccb=7-5&amp;oh=00_Af2DpQ-ak4YeDKp2hRNXM74zxii-winWR2lsxhw8J1LfQw&amp;oe=69D8E608&amp;_nc_sid=0985b0</t>
  </si>
  <si>
    <t>https://instagram.fcgh5-2.fna.fbcdn.net/v/t51.2885-19/361795470_3143304702642867_5188040235207980404_n.jpg?stp=dst-jpg_s150x150_tt6&amp;efg=eyJ2ZW5jb2RlX3RhZyI6InByb2ZpbGVfcGljLmRqYW5nby4xMDgwLmMyIn0&amp;_nc_ht=instagram.fcgh5-2.fna.fbcdn.net&amp;_nc_cat=103&amp;_nc_oc=Q6cZ2gGCQ07xE8dvfVHOdtORVmMvCDG8w_AxCyeQOKq5NxmxrKnRhpDnUDgkkcbOO9Jq__-z7DEd8oUUSAK7vA8qP613&amp;_nc_ohc=KaHnrcZNIe0Q7kNvwF1XIMy&amp;_nc_gid=T9gbc7B1By5EF0drGoDY3Q&amp;edm=AI-cjbYBAAAA&amp;ccb=7-5&amp;oh=00_Af3EUvIV4EpM32W26IJBcQYlvj5HSZpqKVAtLI21sRicEw&amp;oe=69D8E3A2&amp;_nc_sid=0985b0</t>
  </si>
  <si>
    <t>https://instagram.fcgh5-2.fna.fbcdn.net/v/t51.2885-19/117138424_669435263784243_7009331905372408886_n.jpg?stp=dst-jpg_s150x150_tt6&amp;efg=eyJ2ZW5jb2RlX3RhZyI6InByb2ZpbGVfcGljLmRqYW5nby4xMDgwLmMyIn0&amp;_nc_ht=instagram.fcgh5-2.fna.fbcdn.net&amp;_nc_cat=103&amp;_nc_oc=Q6cZ2gGCQ07xE8dvfVHOdtORVmMvCDG8w_AxCyeQOKq5NxmxrKnRhpDnUDgkkcbOO9Jq__-z7DEd8oUUSAK7vA8qP613&amp;_nc_ohc=lE2rd9sb7NkQ7kNvwGrNIvw&amp;_nc_gid=T9gbc7B1By5EF0drGoDY3Q&amp;edm=AI-cjbYBAAAA&amp;ccb=7-5&amp;oh=00_Af3wGyXMQ7Mqyn1-W5pEeAKRJeLO9263j4xpatUPP6HJeg&amp;oe=69D8F8AD&amp;_nc_sid=0985b0</t>
  </si>
  <si>
    <t>https://instagram.fcgh5-2.fna.fbcdn.net/v/t51.2885-19/66016889_2477958829098615_4279234001866063872_n.jpg?stp=dst-jpg_s150x150_tt6&amp;efg=eyJ2ZW5jb2RlX3RhZyI6InByb2ZpbGVfcGljLmRqYW5nby41MjUuYzIifQ&amp;_nc_ht=instagram.fcgh5-2.fna.fbcdn.net&amp;_nc_cat=103&amp;_nc_oc=Q6cZ2gGCQ07xE8dvfVHOdtORVmMvCDG8w_AxCyeQOKq5NxmxrKnRhpDnUDgkkcbOO9Jq__-z7DEd8oUUSAK7vA8qP613&amp;_nc_ohc=7LanWyRAPacQ7kNvwHkthTl&amp;_nc_gid=T9gbc7B1By5EF0drGoDY3Q&amp;edm=AI-cjbYBAAAA&amp;ccb=7-5&amp;oh=00_Af0Mi3Ibx8sbtWPDoaBGt8AIL9aI968ldn9x-28HrXpgQQ&amp;oe=69D8CA5A&amp;_nc_sid=0985b0</t>
  </si>
  <si>
    <t>simuletudoviagem</t>
  </si>
  <si>
    <t>Muito bom de ver 💚</t>
  </si>
  <si>
    <t>08/01/2019, 03:52:57</t>
  </si>
  <si>
    <t>https://www.instagram.com/simuletudoviagem</t>
  </si>
  <si>
    <t>https://instagram.fcgh5-2.fna.fbcdn.net/v/t51.2885-19/339496470_248793697582848_5553369412295405625_n.jpg?stp=dst-jpg_s150x150_tt6&amp;efg=eyJ2ZW5jb2RlX3RhZyI6InByb2ZpbGVfcGljLmRqYW5nby40ODMuYzIifQ&amp;_nc_ht=instagram.fcgh5-2.fna.fbcdn.net&amp;_nc_cat=100&amp;_nc_oc=Q6cZ2gFcc6iCpVmg7MFmH2GF6-NFITeRp2U0nZ5LinMdNOkcW2MojbXm1sWepgvEaFwfLGDpHT_RFOzTKMn_kr2t3X8i&amp;_nc_ohc=HKXTbfbx56YQ7kNvwGhGmkp&amp;_nc_gid=qdrzkkeSuyaTnXdJrg17Qw&amp;edm=AI-cjbYBAAAA&amp;ccb=7-5&amp;oh=00_Af1x3gMIvhzC7AnSOsGa8E5gfsLYR2_e0J8RaVAUs_h37g&amp;oe=69D8B3A8&amp;_nc_sid=0985b0</t>
  </si>
  <si>
    <t>https://instagram.fcgh5-2.fna.fbcdn.net/v/t51.2885-19/339496470_248793697582848_5553369412295405625_n.jpg?stp=dst-jpg_s150x150_tt6&amp;efg=eyJ2ZW5jb2RlX3RhZyI6InByb2ZpbGVfcGljLmRqYW5nby40ODMuYzIifQ&amp;_nc_ht=instagram.fcgh5-2.fna.fbcdn.net&amp;_nc_cat=100&amp;_nc_oc=Q6cZ2gHEVUMjSBpMGzTGROfV9nb_vKat7iS1L2K_QvVUaWcU_R-4SGUFTvZwFL3TXKrqwV30yCDzHC90L92aqMB2fK0H&amp;_nc_ohc=HKXTbfbx56YQ7kNvwGhGmkp&amp;_nc_gid=L6rnn41aXIt0l0HqgRmQCQ&amp;edm=AI-cjbYBAAAA&amp;ccb=7-5&amp;oh=00_Af0q2fvYgnGirM2ult-hYSK93UY0pag3I7Ajbdgg1jQaWQ&amp;oe=69D8B3A8&amp;_nc_sid=0985b0</t>
  </si>
  <si>
    <t>https://instagram.fcgh5-2.fna.fbcdn.net/v/t51.2885-19/339496470_248793697582848_5553369412295405625_n.jpg?stp=dst-jpg_s150x150_tt6&amp;efg=eyJ2ZW5jb2RlX3RhZyI6InByb2ZpbGVfcGljLmRqYW5nby40ODMuYzIifQ&amp;_nc_ht=instagram.fcgh5-2.fna.fbcdn.net&amp;_nc_cat=100&amp;_nc_oc=Q6cZ2gGGqd0QZsGgNG9XoXXFfn0K4wISO8qqNTR5-KN1DhSwPBFcHSev52c30T96kyL6Tl74o8qMboYD2YOguxmKLGmI&amp;_nc_ohc=HKXTbfbx56YQ7kNvwGhGmkp&amp;_nc_gid=KK0zyzdT16LgBIwBuC9gaQ&amp;edm=AI-cjbYBAAAA&amp;ccb=7-5&amp;oh=00_Af17Y6HPVaXydd1ZfMwoSP0pbu9kI3HJyAGKUgrfkAS--w&amp;oe=69D8B3A8&amp;_nc_sid=0985b0</t>
  </si>
  <si>
    <t>turistadehoy</t>
  </si>
  <si>
    <t>Tienes buen contenido.</t>
  </si>
  <si>
    <t>16/04/2017, 20:18:34</t>
  </si>
  <si>
    <t>https://www.instagram.com/turistadehoy</t>
  </si>
  <si>
    <t>https://instagram.fcgh5-1.fna.fbcdn.net/v/t51.2885-19/403841215_676765074521936_4317683898673983083_n.jpg?stp=dst-jpg_s150x150_tt6&amp;efg=eyJ2ZW5jb2RlX3RhZyI6InByb2ZpbGVfcGljLmRqYW5nby41MDAuYzIifQ&amp;_nc_ht=instagram.fcgh5-1.fna.fbcdn.net&amp;_nc_cat=108&amp;_nc_oc=Q6cZ2gHnBFuaIbWydqQQQTyT8rbXpTuhYsf1Avk7GBVdYWeNbnnK104UCABfqrIHxvgwd_tkkDhztcTN35-rwVfuULey&amp;_nc_ohc=BTyTxdhTxRYQ7kNvwFfGR9L&amp;_nc_gid=wvJ6dgtY3DbdQtSqRpnUtA&amp;edm=AI-cjbYBAAAA&amp;ccb=7-5&amp;oh=00_Af0pOkXj2afp7XpNioDVgpMCVpbsgeMXaIaK1Fm9YJFImw&amp;oe=69D8D899&amp;_nc_sid=0985b0</t>
  </si>
  <si>
    <t>https://instagram.fcgh5-1.fna.fbcdn.net/v/t51.2885-19/403841215_676765074521936_4317683898673983083_n.jpg?stp=dst-jpg_s150x150_tt6&amp;efg=eyJ2ZW5jb2RlX3RhZyI6InByb2ZpbGVfcGljLmRqYW5nby41MDAuYzIifQ&amp;_nc_ht=instagram.fcgh5-1.fna.fbcdn.net&amp;_nc_cat=108&amp;_nc_oc=Q6cZ2gEL5ROPQRu_UtU-_3bXv4rKLeauhHA02VrXNhKK1G9Weh5fCoiRlpV0Y0YwMB6tvc9yUyg5GQ-U54rW-YqKkJq5&amp;_nc_ohc=BTyTxdhTxRYQ7kNvwFfGR9L&amp;_nc_gid=mvE-Gmb70RoWUykrO6gkEg&amp;edm=AI-cjbYBAAAA&amp;ccb=7-5&amp;oh=00_Af2OgW-CI2uF-47DuGl3AR6HmsD4yO0u4SdXYIHo2QxRHg&amp;oe=69D8D899&amp;_nc_sid=0985b0</t>
  </si>
  <si>
    <t>partiucuritiba.pr</t>
  </si>
  <si>
    <t>❤️👏</t>
  </si>
  <si>
    <t>11/04/2017, 17:19:19</t>
  </si>
  <si>
    <t>https://www.instagram.com/partiucuritiba.pr</t>
  </si>
  <si>
    <t>https://instagram.fcgh5-1.fna.fbcdn.net/v/t51.82787-19/566750788_18486884128073553_6524189707134357601_n.jpg?stp=dst-jpg_s150x150_tt6&amp;efg=eyJ2ZW5jb2RlX3RhZyI6InByb2ZpbGVfcGljLmRqYW5nby45NTcuZXhwZXJpbWVudGFsIn0&amp;_nc_ht=instagram.fcgh5-1.fna.fbcdn.net&amp;_nc_cat=109&amp;_nc_oc=Q6cZ2gG12pnwWIEh0UX_9-D1NcJYUc-yj0M7y0E6zjk2fV5l-T1K3LuckoZFXXt8nWmXalhuXexQdrqqcVvwa_I2DNUG&amp;_nc_ohc=U86R8hF9ZbUQ7kNvwEL-6d3&amp;_nc_gid=uN0Z6GlxpbP2CeAZHMCTug&amp;edm=AI-cjbYBAAAA&amp;ccb=7-5&amp;oh=00_Af0ZEhpSaf_7eKzBBkiygGcUAxX7qn5zQWYLBAhRd4Xeig&amp;oe=69D8ED7A&amp;_nc_sid=0985b0</t>
  </si>
  <si>
    <t>casapoland</t>
  </si>
  <si>
    <t>👏❤</t>
  </si>
  <si>
    <t>11/04/2017, 19:52:35</t>
  </si>
  <si>
    <t>https://www.instagram.com/casapoland</t>
  </si>
  <si>
    <t>https://instagram.fcgh5-1.fna.fbcdn.net/v/t51.2885-19/362702389_266265689485397_3280258572062438110_n.jpg?stp=dst-jpg_s150x150_tt6&amp;efg=eyJ2ZW5jb2RlX3RhZyI6InByb2ZpbGVfcGljLmRqYW5nby43MTguZXhwZXJpbWVudGFsIn0&amp;_nc_ht=instagram.fcgh5-1.fna.fbcdn.net&amp;_nc_cat=105&amp;_nc_oc=Q6cZ2gG12pnwWIEh0UX_9-D1NcJYUc-yj0M7y0E6zjk2fV5l-T1K3LuckoZFXXt8nWmXalhuXexQdrqqcVvwa_I2DNUG&amp;_nc_ohc=zv86mqjDXyIQ7kNvwGNpkqO&amp;_nc_gid=uN0Z6GlxpbP2CeAZHMCTug&amp;edm=AI-cjbYBAAAA&amp;ccb=7-5&amp;oh=00_Af3ufLC5jx43AoMhIblSq47-Qi8Ky9NjZnnlPs1tev4WUw&amp;oe=69D8C962&amp;_nc_sid=0985b0</t>
  </si>
  <si>
    <t>Qué padre foto!</t>
  </si>
  <si>
    <t>16/04/2017, 20:23:10</t>
  </si>
  <si>
    <t>https://instagram.fcgh5-1.fna.fbcdn.net/v/t51.2885-19/403841215_676765074521936_4317683898673983083_n.jpg?stp=dst-jpg_s150x150_tt6&amp;efg=eyJ2ZW5jb2RlX3RhZyI6InByb2ZpbGVfcGljLmRqYW5nby41MDAuZXhwZXJpbWVudGFsIn0&amp;_nc_ht=instagram.fcgh5-1.fna.fbcdn.net&amp;_nc_cat=108&amp;_nc_oc=Q6cZ2gG12pnwWIEh0UX_9-D1NcJYUc-yj0M7y0E6zjk2fV5l-T1K3LuckoZFXXt8nWmXalhuXexQdrqqcVvwa_I2DNUG&amp;_nc_ohc=BTyTxdhTxRYQ7kNvwFfGR9L&amp;_nc_gid=uN0Z6GlxpbP2CeAZHMCTug&amp;edm=AI-cjbYBAAAA&amp;ccb=7-5&amp;oh=00_Af1T5W_WiNvzO_8V9g8btPUU-Zk7kc_JHoNLp4pFIh9Pzg&amp;oe=69D8D899&amp;_nc_sid=0985b0</t>
  </si>
  <si>
    <t>janwillemzfotografia</t>
  </si>
  <si>
    <t>That's just really nice! 😄</t>
  </si>
  <si>
    <t>12/04/2017, 22:22:05</t>
  </si>
  <si>
    <t>https://www.instagram.com/janwillemzfotografia</t>
  </si>
  <si>
    <t>https://instagram.fcgh5-1.fna.fbcdn.net/v/t51.2885-19/30078977_159378731398414_3463587392726761472_n.jpg?stp=dst-jpg_s150x150_tt6&amp;efg=eyJ2ZW5jb2RlX3RhZyI6InByb2ZpbGVfcGljLmRqYW5nby4xMDgwLmMyIn0&amp;_nc_ht=instagram.fcgh5-1.fna.fbcdn.net&amp;_nc_cat=110&amp;_nc_oc=Q6cZ2gHVn5_MeLdOOXGx7lPNgSb9Xur0J2_2zBCVjDaPFq0ryaXSOvE9GKa3AJG5OyQBTUqg6b3bTt3PuiilNCRcT8Nm&amp;_nc_ohc=hHBTv2FFn98Q7kNvwEwZQdg&amp;_nc_gid=Kh_x-tDytEaZGp2SKeV9CA&amp;edm=AI-cjbYBAAAA&amp;ccb=7-5&amp;oh=00_Af3PoNvenFdvaq2FhnmxWuV7pnelTzZw5goTCU3L0NK-ig&amp;oe=69D8DA09&amp;_nc_sid=0985b0</t>
  </si>
  <si>
    <t>maldita.academy</t>
  </si>
  <si>
    <t>15/04/2017, 02:44:33</t>
  </si>
  <si>
    <t>https://www.instagram.com/maldita.academy</t>
  </si>
  <si>
    <t>https://instagram.fcgh5-1.fna.fbcdn.net/v/t51.82787-19/631666143_18552539491046433_6601276881775884686_n.jpg?stp=dst-jpg_s150x150_tt6&amp;efg=eyJ2ZW5jb2RlX3RhZyI6InByb2ZpbGVfcGljLmRqYW5nby4xMDI0LmMyIn0&amp;_nc_ht=instagram.fcgh5-1.fna.fbcdn.net&amp;_nc_cat=109&amp;_nc_oc=Q6cZ2gHVn5_MeLdOOXGx7lPNgSb9Xur0J2_2zBCVjDaPFq0ryaXSOvE9GKa3AJG5OyQBTUqg6b3bTt3PuiilNCRcT8Nm&amp;_nc_ohc=zCpZCiziKjMQ7kNvwFrKBQL&amp;_nc_gid=Kh_x-tDytEaZGp2SKeV9CA&amp;edm=AI-cjbYBAAAA&amp;ccb=7-5&amp;oh=00_Af033tQuN0iqnN2SV_hPtCTStzjeTguulqyytXwL30_Oxg&amp;oe=69D8C8FA&amp;_nc_sid=0985b0</t>
  </si>
  <si>
    <t>mangiarepizzaria</t>
  </si>
  <si>
    <t>☺ ☺</t>
  </si>
  <si>
    <t>16/04/2017, 17:28:47</t>
  </si>
  <si>
    <t>https://www.instagram.com/mangiarepizzaria</t>
  </si>
  <si>
    <t>https://instagram.fcgh5-2.fna.fbcdn.net/v/t51.2885-19/13534131_1750576425197304_754386563_a.jpg?stp=dst-jpg_s150x150_tt6&amp;efg=eyJ2ZW5jb2RlX3RhZyI6InByb2ZpbGVfcGljLmRqYW5nby4xMDgwLmMyIn0&amp;_nc_ht=instagram.fcgh5-2.fna.fbcdn.net&amp;_nc_cat=100&amp;_nc_oc=Q6cZ2gHVn5_MeLdOOXGx7lPNgSb9Xur0J2_2zBCVjDaPFq0ryaXSOvE9GKa3AJG5OyQBTUqg6b3bTt3PuiilNCRcT8Nm&amp;_nc_ohc=0yTKEa7pqQMQ7kNvwFzu2AW&amp;_nc_gid=Kh_x-tDytEaZGp2SKeV9CA&amp;edm=AI-cjbYBAAAA&amp;ccb=7-5&amp;oh=00_Af1ElePjXdihQCoxS0KoeRPJS09KPeNMiFKzMIfGqvXgMQ&amp;oe=69D8F0F6&amp;_nc_sid=0985b0</t>
  </si>
  <si>
    <t>Buena foto!</t>
  </si>
  <si>
    <t>16/04/2017, 20:12:43</t>
  </si>
  <si>
    <t>https://instagram.fcgh5-1.fna.fbcdn.net/v/t51.2885-19/403841215_676765074521936_4317683898673983083_n.jpg?stp=dst-jpg_s150x150_tt6&amp;efg=eyJ2ZW5jb2RlX3RhZyI6InByb2ZpbGVfcGljLmRqYW5nby41MDAuYzIifQ&amp;_nc_ht=instagram.fcgh5-1.fna.fbcdn.net&amp;_nc_cat=108&amp;_nc_oc=Q6cZ2gHVn5_MeLdOOXGx7lPNgSb9Xur0J2_2zBCVjDaPFq0ryaXSOvE9GKa3AJG5OyQBTUqg6b3bTt3PuiilNCRcT8Nm&amp;_nc_ohc=BTyTxdhTxRYQ7kNvwFfGR9L&amp;_nc_gid=Kh_x-tDytEaZGp2SKeV9CA&amp;edm=AI-cjbYBAAAA&amp;ccb=7-5&amp;oh=00_Af2GnvQGJxoTrxr7yMfE0uKjF943qU_64yyBMNzY_v1gnQ&amp;oe=69D8D899&amp;_nc_sid=0985b0</t>
  </si>
  <si>
    <t>centbeer</t>
  </si>
  <si>
    <t>😉 😉</t>
  </si>
  <si>
    <t>18/04/2017, 08:27:47</t>
  </si>
  <si>
    <t>https://www.instagram.com/centbeer</t>
  </si>
  <si>
    <t>https://instagram.fcgh5-1.fna.fbcdn.net/v/t51.2885-19/11856724_388230924710627_543348063_a.jpg?stp=dst-jpg_s150x150_tt6&amp;efg=eyJ2ZW5jb2RlX3RhZyI6InByb2ZpbGVfcGljLmRqYW5nby42OTYuYzIifQ&amp;_nc_ht=instagram.fcgh5-1.fna.fbcdn.net&amp;_nc_cat=111&amp;_nc_oc=Q6cZ2gHVn5_MeLdOOXGx7lPNgSb9Xur0J2_2zBCVjDaPFq0ryaXSOvE9GKa3AJG5OyQBTUqg6b3bTt3PuiilNCRcT8Nm&amp;_nc_ohc=a5XpmKnLRkoQ7kNvwEpSevk&amp;_nc_gid=Kh_x-tDytEaZGp2SKeV9CA&amp;edm=AI-cjbYBAAAA&amp;ccb=7-5&amp;oh=00_Af04WQYd6RpXrTPOIdyvZR7LBNTShh9biRU6NrXFBTqpdg&amp;oe=69D8FC43&amp;_nc_sid=0985b0</t>
  </si>
  <si>
    <t>piloteyes737</t>
  </si>
  <si>
    <t>Nice photo!</t>
  </si>
  <si>
    <t>08/05/2017, 20:08:11</t>
  </si>
  <si>
    <t>https://www.instagram.com/piloteyes737</t>
  </si>
  <si>
    <t>https://instagram.fcgh5-1.fna.fbcdn.net/v/t51.2885-19/129774133_414313243088728_8152634076007357196_n.jpg?stp=dst-jpg_s150x150_tt6&amp;efg=eyJ2ZW5jb2RlX3RhZyI6InByb2ZpbGVfcGljLmRqYW5nby4xMDgwLmMyIn0&amp;_nc_ht=instagram.fcgh5-1.fna.fbcdn.net&amp;_nc_cat=1&amp;_nc_oc=Q6cZ2gGP8TZTNQkuL-oG93HLqnKtzhaQpX5GU0X9jPyczxI9Pz-vZbwn6qG8qhqlRG8OfKCtp28o8IJmM8NTZzV9x7n3&amp;_nc_ohc=Xl7lsj3pToMQ7kNvwGsFZDy&amp;_nc_gid=p1QOTrjPtzGhwgfpG1M-nA&amp;edm=AI-cjbYBAAAA&amp;ccb=7-5&amp;oh=00_Af2pirFLHzVod4GBeH-kXs934GkN5K2BHf0PvHsV0mQ97A&amp;oe=69D8DE33&amp;_nc_sid=0985b0</t>
  </si>
  <si>
    <t>https://instagram.fcgh5-1.fna.fbcdn.net/v/t51.2885-19/129774133_414313243088728_8152634076007357196_n.jpg?stp=dst-jpg_s150x150_tt6&amp;efg=eyJ2ZW5jb2RlX3RhZyI6InByb2ZpbGVfcGljLmRqYW5nby4xMDgwLmMyIn0&amp;_nc_ht=instagram.fcgh5-1.fna.fbcdn.net&amp;_nc_cat=1&amp;_nc_oc=Q6cZ2gHWFVgRmTqwXvYtVBaEAX0TqsqDbM4C5bmkkudY6M1T0iOuTbKXqZbuoiwhCUGQUkZGFzftGDgDmm23v7cFLj-e&amp;_nc_ohc=Xl7lsj3pToMQ7kNvwGsFZDy&amp;_nc_gid=CvPxSItsUetvx_ZS4FcaXw&amp;edm=AI-cjbYBAAAA&amp;ccb=7-5&amp;oh=00_Af2jLolBP7ZuJ4BNO4Cl4Jdy9fRTKiEneOCzVxbfHLQ-MQ&amp;oe=69D8DE33&amp;_nc_sid=0985b0</t>
  </si>
  <si>
    <t>viagemsfim</t>
  </si>
  <si>
    <t>Olá ! Estou iniciando meu novo projeto pessoal aqui no Instagram. Se puder seguir minha página ajudaria muito. Pelo visto, temos a mesma paixão em comum: viagens e conhecer novas culturas 🌍❤️</t>
  </si>
  <si>
    <t>15/02/2019, 18:09:12</t>
  </si>
  <si>
    <t>https://www.instagram.com/viagemsfim</t>
  </si>
  <si>
    <t>https://instagram.fcgh5-1.fna.fbcdn.net/v/t51.2885-19/361561920_244401188427704_8576477412049765423_n.jpg?stp=dst-jpg_s150x150_tt6&amp;efg=eyJ2ZW5jb2RlX3RhZyI6InByb2ZpbGVfcGljLmRqYW5nby41NzMuYzIifQ&amp;_nc_ht=instagram.fcgh5-1.fna.fbcdn.net&amp;_nc_cat=108&amp;_nc_oc=Q6cZ2gGPXd0vRpzrSQ5GAnuvmmLI6CjmyYxVprS9BC5onVHWjnytJzGJhWEPrQi-qXjvliXUL6oyN0C7NRe6W5tNGavD&amp;_nc_ohc=E8I7RRrYeUsQ7kNvwFLMZVT&amp;_nc_gid=YnbMbgQBFcX4AMqZQr_fJg&amp;edm=AI-cjbYBAAAA&amp;ccb=7-5&amp;oh=00_Af0Cwk9i5pMYAi4cTYKg9eb_b7GRE31YMsA8X003aZCyaQ&amp;oe=69D8C757&amp;_nc_sid=0985b0</t>
  </si>
  <si>
    <t>bradytrades</t>
  </si>
  <si>
    <t>Awesome page 👌</t>
  </si>
  <si>
    <t>19/04/2017, 14:49:39</t>
  </si>
  <si>
    <t>https://www.instagram.com/bradytrades</t>
  </si>
  <si>
    <t>https://instagram.fcgh5-2.fna.fbcdn.net/v/t51.2885-19/247964580_600137047701928_1393686062639678999_n.jpg?stp=dst-jpg_s150x150_tt6&amp;efg=eyJ2ZW5jb2RlX3RhZyI6InByb2ZpbGVfcGljLmRqYW5nby4zMjAuYzIifQ&amp;_nc_ht=instagram.fcgh5-2.fna.fbcdn.net&amp;_nc_cat=104&amp;_nc_oc=Q6cZ2gFTsU3U5n6b3IodLgAklULHVZhmRvHrX_zv7xZNPTtuAscIsAkrmziPbtIofwd_avqz59-lWYPwf-DNmeEd6YFA&amp;_nc_ohc=tvIHd2BfWdsQ7kNvwGC_0R8&amp;_nc_gid=YVHL4KDSxRSOYgqbp3rnpQ&amp;edm=AI-cjbYBAAAA&amp;ccb=7-5&amp;oh=00_Af1Wq-aHGLm4AgusPtKJsr_309ziSD3JNVu2Sm9sHojVew&amp;oe=69D8F356&amp;_nc_sid=0985b0</t>
  </si>
  <si>
    <t>https://instagram.fcgh5-2.fna.fbcdn.net/v/t51.2885-19/247964580_600137047701928_1393686062639678999_n.jpg?stp=dst-jpg_s150x150_tt6&amp;efg=eyJ2ZW5jb2RlX3RhZyI6InByb2ZpbGVfcGljLmRqYW5nby4zMjAuYzIifQ&amp;_nc_ht=instagram.fcgh5-2.fna.fbcdn.net&amp;_nc_cat=104&amp;_nc_oc=Q6cZ2gETVbX7Itwov-pj-HQ_YUNJPxRe4IpaOkSdm0TA6GI9uKURiIhDqIN2Z21jcpboiHpQIxkz6N967ztm0BQXvmkb&amp;_nc_ohc=tvIHd2BfWdsQ7kNvwGC_0R8&amp;_nc_gid=TLkzCYegk1bAsxWSFjuSFw&amp;edm=AI-cjbYBAAAA&amp;ccb=7-5&amp;oh=00_Af2e6hXw-bffPuzk6srywOZFFV2Ej5l03bFZ--47MiExkQ&amp;oe=69D8F356&amp;_nc_sid=0985b0</t>
  </si>
  <si>
    <t>breuningerlandsindelfingen</t>
  </si>
  <si>
    <t>Cooles Pic 😎</t>
  </si>
  <si>
    <t>19/04/2017, 02:08:50</t>
  </si>
  <si>
    <t>https://www.instagram.com/breuningerlandsindelfingen</t>
  </si>
  <si>
    <t>https://instagram.fcgh5-2.fna.fbcdn.net/v/t51.2885-19/461074041_555429956837125_8199222550218510200_n.jpg?stp=dst-jpg_s150x150_tt6&amp;efg=eyJ2ZW5jb2RlX3RhZyI6InByb2ZpbGVfcGljLmRqYW5nby4xMDAwLmMyIn0&amp;_nc_ht=instagram.fcgh5-2.fna.fbcdn.net&amp;_nc_cat=101&amp;_nc_oc=Q6cZ2gHRU0wE-0agUPWInVM4tHi6EatiPSvxw8CJuRxltRiimHZjIpASRjodUSmCdoMUsO5aFf4-z_fSqBKSc3n7-6IU&amp;_nc_ohc=20DlPpDCblIQ7kNvwEkeuqd&amp;_nc_gid=XvP9mRO_dIQ3GTsx0cnspg&amp;edm=AI-cjbYBAAAA&amp;ccb=7-5&amp;oh=00_Af0_dGSNgdUjTp-fVMA-c6oQLU8jSkVKxeARzEMHuwiw2A&amp;oe=69D8DC7F&amp;_nc_sid=0985b0</t>
  </si>
  <si>
    <t>markus_s._walz</t>
  </si>
  <si>
    <t>20/04/2017, 03:24:06</t>
  </si>
  <si>
    <t>https://www.instagram.com/markus_s._walz</t>
  </si>
  <si>
    <t>https://instagram.fcgh5-1.fna.fbcdn.net/v/t51.2885-19/330630189_1257921265068118_5327608875763656724_n.jpg?stp=dst-jpg_s150x150_tt6&amp;efg=eyJ2ZW5jb2RlX3RhZyI6InByb2ZpbGVfcGljLmRqYW5nby4xMDgwLmMyIn0&amp;_nc_ht=instagram.fcgh5-1.fna.fbcdn.net&amp;_nc_cat=110&amp;_nc_oc=Q6cZ2gHRU0wE-0agUPWInVM4tHi6EatiPSvxw8CJuRxltRiimHZjIpASRjodUSmCdoMUsO5aFf4-z_fSqBKSc3n7-6IU&amp;_nc_ohc=bk40JFUOK-oQ7kNvwF1mcUH&amp;_nc_gid=XvP9mRO_dIQ3GTsx0cnspg&amp;edm=AI-cjbYBAAAA&amp;ccb=7-5&amp;oh=00_Af1Qv6amWvCUgjbSxX6EraYnZa9nX4OVC5NPVgSa87eZ9Q&amp;oe=69D8D203&amp;_nc_sid=0985b0</t>
  </si>
  <si>
    <t>we_collector</t>
  </si>
  <si>
    <t>23/04/2017, 00:26:40</t>
  </si>
  <si>
    <t>https://www.instagram.com/we_collector</t>
  </si>
  <si>
    <t>https://instagram.fcgh5-2.fna.fbcdn.net/v/t51.2885-19/109728768_620655348850984_978278391225101713_n.jpg?stp=dst-jpg_s150x150_tt6&amp;efg=eyJ2ZW5jb2RlX3RhZyI6InByb2ZpbGVfcGljLmRqYW5nby4xMDgwLmMyIn0&amp;_nc_ht=instagram.fcgh5-2.fna.fbcdn.net&amp;_nc_cat=104&amp;_nc_oc=Q6cZ2gHRU0wE-0agUPWInVM4tHi6EatiPSvxw8CJuRxltRiimHZjIpASRjodUSmCdoMUsO5aFf4-z_fSqBKSc3n7-6IU&amp;_nc_ohc=4EVz5wQXR64Q7kNvwFDgqRW&amp;_nc_gid=XvP9mRO_dIQ3GTsx0cnspg&amp;edm=AI-cjbYBAAAA&amp;ccb=7-5&amp;oh=00_Af203Suu9S8wrcnYsOYRg8Llj3Z5obE-cGN4FiUarzFZwg&amp;oe=69D8DB37&amp;_nc_sid=0985b0</t>
  </si>
  <si>
    <t>defwis</t>
  </si>
  <si>
    <t>🌸</t>
  </si>
  <si>
    <t>28/04/2017, 05:45:57</t>
  </si>
  <si>
    <t>https://www.instagram.com/defwis</t>
  </si>
  <si>
    <t>https://scontent-for2-2.cdninstagram.com/v/t51.2885-19/573323465_1219825463302212_7278921664109726296_n.png?stp=dst-jpg_e0_s150x150_tt6&amp;efg=eyJ2ZW5jb2RlX3RhZyI6InByb2ZpbGVfcGljLmRqYW5nby4xNTAuYzIifQ&amp;_nc_ht=scontent-for2-2.cdninstagram.com&amp;_nc_cat=1&amp;_nc_oc=Q6cZ2gGfM7xIYyanJIPTXIJKeOB2ceMYkeibsJwe_2-kUrn7bmKd6XALjlwnx6hAo5qHORFY4tiEQ3KzdN5_PXUYjA32&amp;_nc_ohc=a8xHEXzvkAIQ7kNvwGucElb&amp;_nc_gid=zVyiK1u_JeY9E7L0tfI3Xw&amp;edm=ALbqBD0BAAAA&amp;ccb=7-5&amp;ig_cache_key=YW5vbnltb3VzX3Byb2ZpbGVfcGlj.3-ccb7-5&amp;oh=00_Af0Dfw4L2CAF_JH-UYQ7RSnWJ-ioPLyGkgyBjiOWivGGSQ&amp;oe=69D8EAAA&amp;_nc_sid=847350</t>
  </si>
  <si>
    <t>merce_manaus</t>
  </si>
  <si>
    <t>22/04/2017, 14:35:54</t>
  </si>
  <si>
    <t>https://www.instagram.com/merce_manaus</t>
  </si>
  <si>
    <t>https://instagram.fcgh5-2.fna.fbcdn.net/v/t51.82787-19/609683481_18504149380072944_9110548210780906549_n.jpg?stp=dst-jpg_s150x150_tt6&amp;efg=eyJ2ZW5jb2RlX3RhZyI6InByb2ZpbGVfcGljLmRqYW5nby4xMDgwLmMyIn0&amp;_nc_ht=instagram.fcgh5-2.fna.fbcdn.net&amp;_nc_cat=100&amp;_nc_oc=Q6cZ2gFtrpKoIr2GTe9tepEx851srBaLUJV13sZxLYFnZQePYju1fUaTxIaH-MDgvQBfRDOhGx7x7ReBNPwTLpzqBT-X&amp;_nc_ohc=MmmGxZVuB18Q7kNvwGdIk5g&amp;_nc_gid=DWKmecZ75xgoZuqczbZYmg&amp;edm=AI-cjbYBAAAA&amp;ccb=7-5&amp;oh=00_Af3XGXvWsGNB0AY98rVigllC2fBLmA-tMTowfSrO4JzZhA&amp;oe=69D8F12A&amp;_nc_sid=0985b0</t>
  </si>
  <si>
    <t>byokids</t>
  </si>
  <si>
    <t>23/04/2017, 19:26:55</t>
  </si>
  <si>
    <t>https://www.instagram.com/byokids</t>
  </si>
  <si>
    <t>https://instagram.fcgh5-1.fna.fbcdn.net/v/t51.2885-19/466090012_920746106643812_6189269564989402933_n.jpg?stp=dst-jpg_s150x150_tt6&amp;efg=eyJ2ZW5jb2RlX3RhZyI6InByb2ZpbGVfcGljLmRqYW5nby4xMDgwLmMyIn0&amp;_nc_ht=instagram.fcgh5-1.fna.fbcdn.net&amp;_nc_cat=108&amp;_nc_oc=Q6cZ2gFtrpKoIr2GTe9tepEx851srBaLUJV13sZxLYFnZQePYju1fUaTxIaH-MDgvQBfRDOhGx7x7ReBNPwTLpzqBT-X&amp;_nc_ohc=ckmVDrZ1Zq0Q7kNvwF2SSPk&amp;_nc_gid=DWKmecZ75xgoZuqczbZYmg&amp;edm=AI-cjbYBAAAA&amp;ccb=7-5&amp;oh=00_Af0GMQ95QNH5AXzy1pu4R0C7-N4YGU7A0HBwAcTp-SHgmQ&amp;oe=69D8D3E3&amp;_nc_sid=0985b0</t>
  </si>
  <si>
    <t>gay_agent</t>
  </si>
  <si>
    <t>👌🏻</t>
  </si>
  <si>
    <t>02/05/2017, 17:25:38</t>
  </si>
  <si>
    <t>https://www.instagram.com/gay_agent</t>
  </si>
  <si>
    <t>https://instagram.fcgh5-2.fna.fbcdn.net/v/t51.82787-19/652677547_18573880066005007_5800342545574370308_n.jpg?stp=dst-jpg_s150x150_tt6&amp;efg=eyJ2ZW5jb2RlX3RhZyI6InByb2ZpbGVfcGljLmRqYW5nby4xMDgwLmMyIn0&amp;_nc_ht=instagram.fcgh5-2.fna.fbcdn.net&amp;_nc_cat=107&amp;_nc_oc=Q6cZ2gGooQD67pzoZYgztI_yBVmFtmRzVJGOfH3m77H1jVBDZvhkgSxT1NbgTqTc-3zDMyagoIfMRV1lqHAdjl3UDdRf&amp;_nc_ohc=-3BuxFDjb8cQ7kNvwEq-TlZ&amp;_nc_gid=FjTDz5IixOGO6oWKLIjRVA&amp;edm=AI-cjbYBAAAA&amp;ccb=7-5&amp;oh=00_Af1YyIOel9zKQIl2kBIh67GfnLWOOwJ9ypdTARipPkcmWw&amp;oe=69D8DC28&amp;_nc_sid=0985b0</t>
  </si>
  <si>
    <t>https://instagram.fcgh5-2.fna.fbcdn.net/v/t51.82787-19/652677547_18573880066005007_5800342545574370308_n.jpg?stp=dst-jpg_s150x150_tt6&amp;efg=eyJ2ZW5jb2RlX3RhZyI6InByb2ZpbGVfcGljLmRqYW5nby4xMDgwLmMyIn0&amp;_nc_ht=instagram.fcgh5-2.fna.fbcdn.net&amp;_nc_cat=107&amp;_nc_oc=Q6cZ2gHYwAysyYWZxeuRUkv6gU3kHnDfHh_6vmWybK9mF_i3pY3vFPITMlPQog7-PFC2JutTk6QcC1eURDuI-yBVPbMa&amp;_nc_ohc=-3BuxFDjb8cQ7kNvwEq-TlZ&amp;_nc_gid=L32L8kse7qq22HAABZNmJQ&amp;edm=AI-cjbYBAAAA&amp;ccb=7-5&amp;oh=00_Af0QiCPzXo7vepdtGRE_wQniKHKe-DeZN_uwlHxKsquDTQ&amp;oe=69D8DC28&amp;_nc_sid=0985b0</t>
  </si>
  <si>
    <t>srbeefchoppechurrasco</t>
  </si>
  <si>
    <t>03/05/2017, 12:46:11</t>
  </si>
  <si>
    <t>https://www.instagram.com/srbeefchoppechurrasco</t>
  </si>
  <si>
    <t>https://instagram.fcgh5-1.fna.fbcdn.net/v/t51.2885-19/323516256_153853644084995_5470662735482347160_n.jpg?stp=dst-jpg_s150x150_tt6&amp;efg=eyJ2ZW5jb2RlX3RhZyI6InByb2ZpbGVfcGljLmRqYW5nby45NzkuYzIifQ&amp;_nc_ht=instagram.fcgh5-1.fna.fbcdn.net&amp;_nc_cat=111&amp;_nc_oc=Q6cZ2gHLy5PjjK8PAHMUyUdSxCW5EAiDiJ4xok05ToL4T92c9gG4bAHN6wrvPPoMV3L51oOMnziuCiYJUs8Mqgtc8ILj&amp;_nc_ohc=g-4w2xalFzgQ7kNvwGj2bkm&amp;_nc_gid=griP5csY2HTYD-VGBkgIFg&amp;edm=AI-cjbYBAAAA&amp;ccb=7-5&amp;oh=00_Af0iDnDUjWnddKQbi26yZ709Z9gYAM4stJngGwkDfBTY6Q&amp;oe=69D8F53D&amp;_nc_sid=0985b0</t>
  </si>
  <si>
    <t>voecta</t>
  </si>
  <si>
    <t>03/05/2017, 19:56:21</t>
  </si>
  <si>
    <t>https://www.instagram.com/voecta</t>
  </si>
  <si>
    <t>https://instagram.fcgh5-1.fna.fbcdn.net/v/t51.2885-19/397371886_1258503505551190_6347666846319467722_n.jpg?stp=dst-jpg_s150x150_tt6&amp;efg=eyJ2ZW5jb2RlX3RhZyI6InByb2ZpbGVfcGljLmRqYW5nby4xMDgwLmNhbmFyeSJ9&amp;_nc_ht=instagram.fcgh5-1.fna.fbcdn.net&amp;_nc_cat=110&amp;_nc_oc=Q6cZ2gECnoTGrElj9yaFj-aahTlvPrFxIbjoBW_TvD6enZ9apUsWpa5sPN30Nu3OyXxI4vW0HyEIZTY-VBE9T8uFdKMM&amp;_nc_ohc=TQBSiFOUwU0Q7kNvwHbzIFS&amp;_nc_gid=C_Z6zC9VDeNLAKR5dP7RQg&amp;edm=AI-cjbYBAAAA&amp;ccb=7-5&amp;oh=00_Af3m5FDqLzoR_KMQDkkOk48Rp_31ONqF4BZ8ZxEexCa1TA&amp;oe=69D8D85B&amp;_nc_sid=0985b0</t>
  </si>
  <si>
    <t>islagreek</t>
  </si>
  <si>
    <t>06/05/2017, 08:24:25</t>
  </si>
  <si>
    <t>https://www.instagram.com/islagreek</t>
  </si>
  <si>
    <t>https://instagram.fcgh5-2.fna.fbcdn.net/v/t51.2885-19/15802028_276209856128622_4445552762112966656_n.jpg?stp=dst-jpg_s150x150_tt6&amp;efg=eyJ2ZW5jb2RlX3RhZyI6InByb2ZpbGVfcGljLmRqYW5nby42NDAuY2FuYXJ5In0&amp;_nc_ht=instagram.fcgh5-2.fna.fbcdn.net&amp;_nc_cat=106&amp;_nc_oc=Q6cZ2gECnoTGrElj9yaFj-aahTlvPrFxIbjoBW_TvD6enZ9apUsWpa5sPN30Nu3OyXxI4vW0HyEIZTY-VBE9T8uFdKMM&amp;_nc_ohc=6boKm7FYeikQ7kNvwF7fYef&amp;_nc_gid=C_Z6zC9VDeNLAKR5dP7RQg&amp;edm=AI-cjbYBAAAA&amp;ccb=7-5&amp;oh=00_Af11Sn99G1i1YQ4ROB6yFTK_oyLqROCmJ8iJLKUWm2Q2Fw&amp;oe=69D8D89B&amp;_nc_sid=0985b0</t>
  </si>
  <si>
    <t>cool!</t>
  </si>
  <si>
    <t>06/05/2017, 11:12:36</t>
  </si>
  <si>
    <t>https://instagram.fcgh5-2.fna.fbcdn.net/v/t51.2885-19/15802028_276209856128622_4445552762112966656_n.jpg?stp=dst-jpg_s150x150_tt6&amp;efg=eyJ2ZW5jb2RlX3RhZyI6InByb2ZpbGVfcGljLmRqYW5nby42NDAuYzIifQ&amp;_nc_ht=instagram.fcgh5-2.fna.fbcdn.net&amp;_nc_cat=106&amp;_nc_oc=Q6cZ2gGLmhUJmo0zTaqS7m_WNtmNillKIq8eItJXnTTcIuRf62u9l6-66Dd8u98w-5YHtwTmRAgUjxF6JaH75nFKyWji&amp;_nc_ohc=6boKm7FYeikQ7kNvwF7fYef&amp;_nc_gid=0ChK2pq0oIbPhwzm70MLwA&amp;edm=AI-cjbYBAAAA&amp;ccb=7-5&amp;oh=00_Af0Fjh08VDI-o9putL2zKKR0FCB1HU9m9PFUIQ38FxCv7Q&amp;oe=69D8D89B&amp;_nc_sid=0985b0</t>
  </si>
  <si>
    <t>fllikeapp</t>
  </si>
  <si>
    <t>Good flight? Score and share your experience on our new travel app! #fllike</t>
  </si>
  <si>
    <t>06/05/2017, 12:32:19</t>
  </si>
  <si>
    <t>https://www.instagram.com/fllikeapp</t>
  </si>
  <si>
    <t>https://instagram.fcgh5-1.fna.fbcdn.net/v/t51.2885-19/12798099_1683644398564598_537609033_a.jpg?stp=dst-jpg_s150x150_tt6&amp;efg=eyJ2ZW5jb2RlX3RhZyI6InByb2ZpbGVfcGljLmRqYW5nby4xMDgwLmMyIn0&amp;_nc_ht=instagram.fcgh5-1.fna.fbcdn.net&amp;_nc_cat=102&amp;_nc_oc=Q6cZ2gH7Iq50vqv1MRQIP8XZtWbuFP0i_jXf6aX92OzX1Mj7SAMPk2sAy84U8clpRB3t3nXJSVU0ph66l1IFRNW2zLOy&amp;_nc_ohc=JZSiXF2kqTYQ7kNvwFu9Erf&amp;_nc_gid=PWY6HZz6e6vYvPXWkL_WBg&amp;edm=AI-cjbYBAAAA&amp;ccb=7-5&amp;oh=00_Af3DKgSrVlAkgukIxEDqzvJiEe8govVFYlRYE7266Axpww&amp;oe=69D8DB54&amp;_nc_sid=0985b0</t>
  </si>
  <si>
    <t>joycialves_oficial</t>
  </si>
  <si>
    <t>👏💕</t>
  </si>
  <si>
    <t>24/03/2019, 18:22:44</t>
  </si>
  <si>
    <t>https://www.instagram.com/joycialves_oficial</t>
  </si>
  <si>
    <t>https://instagram.fcgh5-1.fna.fbcdn.net/v/t51.82787-19/641771998_18419501317139366_2146564142475486594_n.jpg?stp=dst-jpg_s150x150_tt6&amp;efg=eyJ2ZW5jb2RlX3RhZyI6InByb2ZpbGVfcGljLmRqYW5nby4xMDc5LmMyIn0&amp;_nc_ht=instagram.fcgh5-1.fna.fbcdn.net&amp;_nc_cat=102&amp;_nc_oc=Q6cZ2gFHCNtT6-ywyg2k6OihqJzmAS5pqq2wPxsJ8p8JM5uYaSUv36zctknRlFBj7NU2clsz_HaNxeK_EsPg7tWsonTL&amp;_nc_ohc=xt5KASDkh0gQ7kNvwH9dNyH&amp;_nc_gid=0gfgNhHuxEwtm5nK5Rvv1A&amp;edm=AI-cjbYBAAAA&amp;ccb=7-5&amp;oh=00_Af0kKFwsfcWkDiqux0O53Z9DBOY2hLnhIIrKFshKh8UbVg&amp;oe=69D8B3AD&amp;_nc_sid=0985b0</t>
  </si>
  <si>
    <t>https://instagram.fcgh5-1.fna.fbcdn.net/v/t51.82787-19/641771998_18419501317139366_2146564142475486594_n.jpg?stp=dst-jpg_s150x150_tt6&amp;efg=eyJ2ZW5jb2RlX3RhZyI6InByb2ZpbGVfcGljLmRqYW5nby4xMDc5LmMyIn0&amp;_nc_ht=instagram.fcgh5-1.fna.fbcdn.net&amp;_nc_cat=102&amp;_nc_oc=Q6cZ2gE-nL1azUJedo8pnWhmbTKCvvHY0vB1QDpRwq1Xos4oMcgQ6CL2TRd2i8Vg9Eexpqn5ActF9wU0eFhR2xzMNO6e&amp;_nc_ohc=xt5KASDkh0gQ7kNvwH9dNyH&amp;_nc_gid=fzL9ppDGq2DIgkWipSq4Gg&amp;edm=AI-cjbYBAAAA&amp;ccb=7-5&amp;oh=00_Af1pnvybIavBLGxd3cjNEcMh_Wwuv6FoPeRlTGR4nTzZTg&amp;oe=69D8B3AD&amp;_nc_sid=0985b0</t>
  </si>
  <si>
    <t>juspagnollo</t>
  </si>
  <si>
    <t>O</t>
  </si>
  <si>
    <t>23/02/2019, 05:55:41</t>
  </si>
  <si>
    <t>https://www.instagram.com/juspagnollo</t>
  </si>
  <si>
    <t>https://instagram.fcgh5-1.fna.fbcdn.net/v/t51.2885-19/466915135_2052960791817698_5976983062205409298_n.jpg?stp=dst-jpg_s150x150_tt6&amp;efg=eyJ2ZW5jb2RlX3RhZyI6InByb2ZpbGVfcGljLmRqYW5nby4xMDgwLmMyIn0&amp;_nc_ht=instagram.fcgh5-1.fna.fbcdn.net&amp;_nc_cat=102&amp;_nc_oc=Q6cZ2gGxnipzSupdU7cjihxtHcmuZz5xSYsC4KrQQ_afCjGjSimMN05lKPd2YRXpl_KiBp_BerzpCvqTHvvdVtK4LF6r&amp;_nc_ohc=zsQ4cmorFOAQ7kNvwELpAfz&amp;_nc_gid=wjcfgMeRX4I9iGvO_KAkzA&amp;edm=AI-cjbYBAAAA&amp;ccb=7-5&amp;oh=00_Af3WuuSxGwCA7f2zqFWcUnsqrd2dFXHV05rNw8ZGLSQT_A&amp;oe=69D8C873&amp;_nc_sid=0985b0</t>
  </si>
  <si>
    <t>https://instagram.fcgh5-1.fna.fbcdn.net/v/t51.2885-19/466915135_2052960791817698_5976983062205409298_n.jpg?stp=dst-jpg_s150x150_tt6&amp;efg=eyJ2ZW5jb2RlX3RhZyI6InByb2ZpbGVfcGljLmRqYW5nby4xMDgwLmMyIn0&amp;_nc_ht=instagram.fcgh5-1.fna.fbcdn.net&amp;_nc_cat=102&amp;_nc_oc=Q6cZ2gFVoZo9NAA6-wF98Jiivdy8FevTDtmSorUMFTIGNURZNoKERs_7iD1b9RhE73ZAW3a4_a1hrwuSF2xhIMmD36JA&amp;_nc_ohc=zsQ4cmorFOAQ7kNvwELpAfz&amp;_nc_gid=GnOYpNHy5YBLY77lQNcR4A&amp;edm=AI-cjbYBAAAA&amp;ccb=7-5&amp;oh=00_Af0NrywSAJDUpniqzCX1fpFl3_VJTr8Gu9sOsdyUu7P2uw&amp;oe=69D8C873&amp;_nc_sid=0985b0</t>
  </si>
  <si>
    <t>jessitorn</t>
  </si>
  <si>
    <t>19/05/2017, 13:03:46</t>
  </si>
  <si>
    <t>https://www.instagram.com/jessitorn</t>
  </si>
  <si>
    <t>https://instagram.fcgh5-2.fna.fbcdn.net/v/t51.2885-19/79375962_637375253674675_3000787748706582528_n.jpg?stp=dst-jpg_s150x150_tt6&amp;efg=eyJ2ZW5jb2RlX3RhZyI6InByb2ZpbGVfcGljLmRqYW5nby4xMDI0LmMyIn0&amp;_nc_ht=instagram.fcgh5-2.fna.fbcdn.net&amp;_nc_cat=107&amp;_nc_oc=Q6cZ2gHbSuswlOEkK1_LylutBz-UoGqYdIgl-wd23hZ8l95uNmsZ6vIZuDIifTk-xgTzsga7YAlM5mjWcJL0ldU9_n8A&amp;_nc_ohc=F7oVt0krOcAQ7kNvwHOOuqy&amp;_nc_gid=xZ9K4aYLE8kDfcFqTBBaCw&amp;edm=AI-cjbYBAAAA&amp;ccb=7-5&amp;oh=00_Af0h7c3-bfcFqGIALa0N-jh_dw4jy-gfFEq7EGLFGFfcMA&amp;oe=69D8EA7D&amp;_nc_sid=0985b0</t>
  </si>
  <si>
    <t>https://instagram.fcgh5-2.fna.fbcdn.net/v/t51.2885-19/79375962_637375253674675_3000787748706582528_n.jpg?stp=dst-jpg_s150x150_tt6&amp;efg=eyJ2ZW5jb2RlX3RhZyI6InByb2ZpbGVfcGljLmRqYW5nby4xMDI0LmMyIn0&amp;_nc_ht=instagram.fcgh5-2.fna.fbcdn.net&amp;_nc_cat=107&amp;_nc_oc=Q6cZ2gFZSsU74SmZYeqEThpOmJb3BXckCAkVtRLGH18BwrfJ7vBAXwntL5qh7bUOwxrhXX2Be14XdkLBZkwK_feon2d2&amp;_nc_ohc=F7oVt0krOcAQ7kNvwHOOuqy&amp;_nc_gid=cUfA2n3E59nIhglH5d_rTw&amp;edm=AI-cjbYBAAAA&amp;ccb=7-5&amp;oh=00_Af0zMtB4Zpu9JqT6JXUbUUOwH4f8xnXqHE2b5eBj6iSIfA&amp;oe=69D8EA7D&amp;_nc_sid=0985b0</t>
  </si>
  <si>
    <t>airportmagazine</t>
  </si>
  <si>
    <t>#airportlicious :🛫 )</t>
  </si>
  <si>
    <t>29/05/2017, 18:10:51</t>
  </si>
  <si>
    <t>https://www.instagram.com/airportmagazine</t>
  </si>
  <si>
    <t>https://instagram.fcgh5-2.fna.fbcdn.net/v/t51.2885-19/25037135_257461798117879_7989617534045257728_n.jpg?stp=dst-jpg_s150x150_tt6&amp;efg=eyJ2ZW5jb2RlX3RhZyI6InByb2ZpbGVfcGljLmRqYW5nby41OTYuYzIifQ&amp;_nc_ht=instagram.fcgh5-2.fna.fbcdn.net&amp;_nc_cat=107&amp;_nc_oc=Q6cZ2gEhWqD_hPziK0-MMLYY1pFwD6xSR38Hi5CsRCeYoINiS5CmCEFJ5w72rcBJQAuSCv2McrRlngI4h6ajkVfyqnMH&amp;_nc_ohc=OKLdwz79CIQQ7kNvwG4l_eB&amp;_nc_gid=d2ztECGHXyxoOoqhyeXfjw&amp;edm=AI-cjbYBAAAA&amp;ccb=7-5&amp;oh=00_Af0wHkjlJWZUPTFmYPN17zj7Giq6hw2Ca8AtBrf4NnJx2Q&amp;oe=69D8DC69&amp;_nc_sid=0985b0</t>
  </si>
  <si>
    <t>https://instagram.fcgh5-2.fna.fbcdn.net/v/t51.2885-19/25037135_257461798117879_7989617534045257728_n.jpg?stp=dst-jpg_s150x150_tt6&amp;efg=eyJ2ZW5jb2RlX3RhZyI6InByb2ZpbGVfcGljLmRqYW5nby41OTYuZXhwZXJpbWVudGFsIn0&amp;_nc_ht=instagram.fcgh5-2.fna.fbcdn.net&amp;_nc_cat=107&amp;_nc_oc=Q6cZ2gHkzVFdeQSwHfPDJBfQHR94XXJVCMDfL_828PengmU7YYFEQ_TWGZ2DkjAHiVL8hu9GYmvobqPJCEiq27zle0hC&amp;_nc_ohc=OKLdwz79CIQQ7kNvwG4l_eB&amp;_nc_gid=ei9LNtSCHnVjaKfjp9oaLQ&amp;edm=AI-cjbYBAAAA&amp;ccb=7-5&amp;oh=00_Af2Cfoi6LWCVsajYuW11496n5iqtNFqSANcxWUgeEPcF8w&amp;oe=69D8DC69&amp;_nc_sid=0985b0</t>
  </si>
  <si>
    <t>constroi_incorporadora</t>
  </si>
  <si>
    <t>31/05/2017, 09:11:46</t>
  </si>
  <si>
    <t>https://www.instagram.com/constroi_incorporadora</t>
  </si>
  <si>
    <t>https://instagram.fcgh5-2.fna.fbcdn.net/v/t51.82787-19/610915351_18357123328166140_945560457412889202_n.jpg?stp=dst-jpg_s150x150_tt6&amp;efg=eyJ2ZW5jb2RlX3RhZyI6InByb2ZpbGVfcGljLmRqYW5nby41NzMuYzIifQ&amp;_nc_ht=instagram.fcgh5-2.fna.fbcdn.net&amp;_nc_cat=104&amp;_nc_oc=Q6cZ2gECbRFfY_AInPqss8oiJwW0t511-gjGHCHZV7i-wDz5rCA00GgRB9gdub8BxCho3j_3Nek8McI11PlGmIrXTl8Z&amp;_nc_ohc=I6NcJjTGLP0Q7kNvwHB7Rsh&amp;_nc_gid=yhyJHjcWvcKbw-R38h4cfQ&amp;edm=AI-cjbYBAAAA&amp;ccb=7-5&amp;oh=00_Af26WiyU730cpJ9QBdfHcVzpydQZv3YiF0pjAox8t7mPzg&amp;oe=69D8CE8D&amp;_nc_sid=0985b0</t>
  </si>
  <si>
    <t>https://instagram.fcgh5-2.fna.fbcdn.net/v/t51.82787-19/610915351_18357123328166140_945560457412889202_n.jpg?stp=dst-jpg_s150x150_tt6&amp;efg=eyJ2ZW5jb2RlX3RhZyI6InByb2ZpbGVfcGljLmRqYW5nby41NzMuYzIifQ&amp;_nc_ht=instagram.fcgh5-2.fna.fbcdn.net&amp;_nc_cat=104&amp;_nc_oc=Q6cZ2gFp4E8PeM8lCbFYeSgypJJwiQ6NjNjFrVPjtFhYSpZuv_znoR0DBxngC2i57QnjmtNELDhHjUCu1scr1DTW50Mu&amp;_nc_ohc=I6NcJjTGLP0Q7kNvwHB7Rsh&amp;_nc_gid=oQW5cs6ERWCVVJFFWdSyQw&amp;edm=AI-cjbYBAAAA&amp;ccb=7-5&amp;oh=00_Af1nv4icBPdyAv1rYI40dtldqI9VPMNf5b0apbldZgTd9w&amp;oe=69D8CE8D&amp;_nc_sid=0985b0</t>
  </si>
  <si>
    <t>rlamarante</t>
  </si>
  <si>
    <t>Dufry shopping é a marca que fica no embarque doméstico. Não é duty free.</t>
  </si>
  <si>
    <t>01/06/2017, 19:16:38</t>
  </si>
  <si>
    <t>https://www.instagram.com/rlamarante</t>
  </si>
  <si>
    <t>https://instagram.fcgh5-1.fna.fbcdn.net/v/t51.82787-19/608992026_18551121427034409_305745912906559936_n.jpg?stp=dst-jpg_s150x150_tt6&amp;efg=eyJ2ZW5jb2RlX3RhZyI6InByb2ZpbGVfcGljLmRqYW5nby4xMDgwLmMyIn0&amp;_nc_ht=instagram.fcgh5-1.fna.fbcdn.net&amp;_nc_cat=109&amp;_nc_oc=Q6cZ2gHwJRjg2RUN1OwCbIXqKfVChc_nJw3yAt90zegxqQdSGv2jKXAQJsn1KDM8XxjnFvALTSLX0IkLl1YjlSVFDVbY&amp;_nc_ohc=GqPCMLAmcgUQ7kNvwFaTTj0&amp;_nc_gid=SYfkdUUoKDUtc4mxnyYgfA&amp;edm=AI-cjbYBAAAA&amp;ccb=7-5&amp;oh=00_Af2JszWFYFMu61HUU2uWt3R3tTG0uG12Isxi4rw5ZYOlhw&amp;oe=69D8E1BF&amp;_nc_sid=0985b0</t>
  </si>
  <si>
    <t>livinghnk</t>
  </si>
  <si>
    <t>😃😃✌!!</t>
  </si>
  <si>
    <t>03/06/2017, 12:14:15</t>
  </si>
  <si>
    <t>https://www.instagram.com/livinghnk</t>
  </si>
  <si>
    <t>https://instagram.fcgh5-1.fna.fbcdn.net/v/t51.2885-19/476099441_618352297614854_8884943527354342323_n.jpg?stp=dst-jpg_s150x150_tt6&amp;efg=eyJ2ZW5jb2RlX3RhZyI6InByb2ZpbGVfcGljLmRqYW5nby4xMDgwLmMyIn0&amp;_nc_ht=instagram.fcgh5-1.fna.fbcdn.net&amp;_nc_cat=102&amp;_nc_oc=Q6cZ2gEVhzX1gmPyRuSNEHBDYoJSyR2CTWkysQGwkD-4DPnpZuk44LlMfRGvRBtCTrpO9q_J1K_k3xp1nUQ5mUosAQsn&amp;_nc_ohc=RqAp14LHn-AQ7kNvwGh-r0D&amp;_nc_gid=CbUe5AGkDxbXhBe6fwwYHw&amp;edm=AI-cjbYBAAAA&amp;ccb=7-5&amp;oh=00_Af0AHAk4J7W4DGBSBj1LtXArYkjP1oiG-M3HihKfAolswQ&amp;oe=69D8E3B4&amp;_nc_sid=0985b0</t>
  </si>
  <si>
    <t>agdapaula</t>
  </si>
  <si>
    <t>😊😊😊✌!!!</t>
  </si>
  <si>
    <t>06/06/2017, 06:32:17</t>
  </si>
  <si>
    <t>https://www.instagram.com/agdapaula</t>
  </si>
  <si>
    <t>https://instagram.fcgh5-1.fna.fbcdn.net/v/t51.2885-19/464058637_553102970463347_2934664506051245974_n.jpg?stp=dst-jpg_s150x150_tt6&amp;efg=eyJ2ZW5jb2RlX3RhZyI6InByb2ZpbGVfcGljLmRqYW5nby4xMDgwLmMyIn0&amp;_nc_ht=instagram.fcgh5-1.fna.fbcdn.net&amp;_nc_cat=111&amp;_nc_oc=Q6cZ2gHc1vacQxfd76Q8kxxeZgBpPQdqBc7FNL-jkydDDEHhatH2fvqMFru6ziV6fZk9rmaH35_xEloOFcyAYjzPHgA8&amp;_nc_ohc=PMEG3kdXFi4Q7kNvwE5Iwqc&amp;_nc_gid=dAfrcbzP5QM0GBnHxiQXbw&amp;edm=AI-cjbYBAAAA&amp;ccb=7-5&amp;oh=00_Af3Zu8QKWN3-JCrzb8vvhjaR12I9LtkMTqpKgVmOH4ZsvA&amp;oe=69D8D067&amp;_nc_sid=0985b0</t>
  </si>
  <si>
    <t>sebcalves</t>
  </si>
  <si>
    <t>@aedetails</t>
  </si>
  <si>
    <t>30/06/2017, 05:25:05</t>
  </si>
  <si>
    <t>https://www.instagram.com/sebcalves</t>
  </si>
  <si>
    <t>https://instagram.fcgh5-2.fna.fbcdn.net/v/t51.2885-19/12547719_902219343225355_803692612_a.jpg?stp=dst-jpg_s150x150_tt6&amp;efg=eyJ2ZW5jb2RlX3RhZyI6InByb2ZpbGVfcGljLmRqYW5nby42NDAuYzIifQ&amp;_nc_ht=instagram.fcgh5-2.fna.fbcdn.net&amp;_nc_cat=107&amp;_nc_oc=Q6cZ2gELza2dEfGv80PJzggw5p7ycPL7QA7lS_7u1Ps17bdjWzJSmWrSKivgJM5ah7d1y0haFIO61wHvytsHi-x7a3rY&amp;_nc_ohc=f4R_PH2TdkIQ7kNvwFntmG_&amp;_nc_gid=NgUw5dug0np387VORGfSVQ&amp;edm=AI-cjbYBAAAA&amp;ccb=7-5&amp;oh=00_Af1kx4BGlZ3nnO1MwnJTZptd9fEwOCcqD2YxZbxST4jfeA&amp;oe=69D8F1C8&amp;_nc_sid=0985b0</t>
  </si>
  <si>
    <t>https://instagram.fcgh5-2.fna.fbcdn.net/v/t51.2885-19/12547719_902219343225355_803692612_a.jpg?stp=dst-jpg_s150x150_tt6&amp;efg=eyJ2ZW5jb2RlX3RhZyI6InByb2ZpbGVfcGljLmRqYW5nby42NDAuYzIifQ&amp;_nc_ht=instagram.fcgh5-2.fna.fbcdn.net&amp;_nc_cat=107&amp;_nc_oc=Q6cZ2gGVhlPIUU9pFVt5Aps-x6l5-8G2VXwJ3W_ImA73lpcn_4OYwYS9wvxVYDVW4lJFTJZT_thi2qDJd_u-wqxMRy4M&amp;_nc_ohc=f4R_PH2TdkIQ7kNvwFntmG_&amp;_nc_gid=7rOV8mduBUZ3nZJF9dRZCQ&amp;edm=AI-cjbYBAAAA&amp;ccb=7-5&amp;oh=00_Af32rKOU514wmJsbgPEnmUqzMHDt5OFkC7-wRAayzy2WCA&amp;oe=69D8F1C8&amp;_nc_sid=0985b0</t>
  </si>
  <si>
    <t>daniyalmeida25</t>
  </si>
  <si>
    <t>@gian_ck isso é taooooo...</t>
  </si>
  <si>
    <t>06/06/2017, 19:36:28</t>
  </si>
  <si>
    <t>https://www.instagram.com/daniyalmeida25</t>
  </si>
  <si>
    <t>https://instagram.fgdl1-4.fna.fbcdn.net/v/t51.2885-19/573323465_1219825463302212_7278921664109726296_n.png?stp=dst-webp&amp;efg=eyJ2ZW5jb2RlX3RhZyI6InByb2ZpbGVfcGljLmRqYW5nby4xNTAuYzIifQ&amp;_nc_ht=instagram.fgdl1-4.fna.fbcdn.net&amp;_nc_cat=1&amp;_nc_oc=Q6cZ2gFpOpyLQuPbXl7Gc4KmZxNhzgIf_j9H_GX0w4zgxxmGuKfDVEzxiXYHxFhShtldBrCckB-N-qRfOAyuAL8AeUvp&amp;_nc_ohc=a8xHEXzvkAIQ7kNvwE4k9ze&amp;_nc_gid=GWB_Mu7ymL0EBl8fmhW2sw&amp;edm=AJ9x6zYBAAAA&amp;ccb=7-5&amp;ig_cache_key=YW5vbnltb3VzX3Byb2ZpbGVfcGlj.3-ccb7-5&amp;oh=00_Af2n1_RFX2ak_8_nzXsv6gKZy6Ry0mI9NGD4L17XU9yFRQ&amp;oe=69D8EAAA&amp;_nc_sid=65462d</t>
  </si>
  <si>
    <t>posto12restaurante</t>
  </si>
  <si>
    <t>08/06/2017, 17:41:02</t>
  </si>
  <si>
    <t>https://www.instagram.com/posto12restaurante</t>
  </si>
  <si>
    <t>https://instagram.fcgh5-2.fna.fbcdn.net/v/t51.2885-19/489617112_685412437353327_2268645630590381763_n.jpg?stp=dst-jpg_s150x150_tt6&amp;efg=eyJ2ZW5jb2RlX3RhZyI6InByb2ZpbGVfcGljLmRqYW5nby4xMDgwLmMyIn0&amp;_nc_ht=instagram.fcgh5-2.fna.fbcdn.net&amp;_nc_cat=103&amp;_nc_oc=Q6cZ2gGgFN2dc9WY7FZbh5vgT4AUiOMt0HOYY3GXW6QEoP1J8DsLiYH9xN7WhEUUfp1LjIXRUy8_p5io5r9JEG-64Z2s&amp;_nc_ohc=K9MlB3TTkTYQ7kNvwEm5x9F&amp;_nc_gid=kVg-sOIXq4eNyIQt-0Q0JA&amp;edm=AI-cjbYBAAAA&amp;ccb=7-5&amp;oh=00_Af3OkWysrWMLrIHAuI62eGa36BXTxAoTlb7Lsa4QHkCIQg&amp;oe=69D8EA74&amp;_nc_sid=0985b0</t>
  </si>
  <si>
    <t>https://instagram.fcgh5-2.fna.fbcdn.net/v/t51.2885-19/489617112_685412437353327_2268645630590381763_n.jpg?stp=dst-jpg_s150x150_tt6&amp;efg=eyJ2ZW5jb2RlX3RhZyI6InByb2ZpbGVfcGljLmRqYW5nby4xMDgwLmMyIn0&amp;_nc_ht=instagram.fcgh5-2.fna.fbcdn.net&amp;_nc_cat=103&amp;_nc_oc=Q6cZ2gE3lIv8_4HFEHXlJ202U33GNT_3ilcSnzQVV9HaIrm_Iv6PEvZrjEtU0LD63KsoMpq7XV0ryL3h5gJrDNmt67x6&amp;_nc_ohc=K9MlB3TTkTYQ7kNvwEm5x9F&amp;_nc_gid=KcXgOxidCIuBfZP4IvhK4g&amp;edm=AI-cjbYBAAAA&amp;ccb=7-5&amp;oh=00_Af1-IXrCUpmhvGT9mkCOTZpHX0hIs1CCGppPsMMkSFw7vQ&amp;oe=69D8EA74&amp;_nc_sid=0985b0</t>
  </si>
  <si>
    <t>aluflecha</t>
  </si>
  <si>
    <t>🤤🤤🤤❤️</t>
  </si>
  <si>
    <t>31/03/2019, 11:06:35</t>
  </si>
  <si>
    <t>https://www.instagram.com/aluflecha</t>
  </si>
  <si>
    <t>https://instagram.fcgh5-1.fna.fbcdn.net/v/t51.82787-19/542456948_18521867929022729_6652914939445819952_n.jpg?stp=dst-jpg_s150x150_tt6&amp;efg=eyJ2ZW5jb2RlX3RhZyI6InByb2ZpbGVfcGljLmRqYW5nby4xMDgwLmMyIn0&amp;_nc_ht=instagram.fcgh5-1.fna.fbcdn.net&amp;_nc_cat=105&amp;_nc_oc=Q6cZ2gHIsTT6rF0wug8BuaulVJ4PgDnBUidNILm8pr9Xn-syGTpNn21vgX8PvKuUkYbL42GO5svS98pSBMcHkwIgSNmG&amp;_nc_ohc=wELBK50hHSEQ7kNvwGiyJbu&amp;_nc_gid=jrfHeCO4P18E5Yza1IrrYQ&amp;edm=AI-cjbYBAAAA&amp;ccb=7-5&amp;oh=00_Af3hYvDros3FVR-_tKNiKmx64d6iM0FrSfdX4YCJPyqU_Q&amp;oe=69D8D867&amp;_nc_sid=0985b0</t>
  </si>
  <si>
    <t>voegoloficial</t>
  </si>
  <si>
    <t>@revistaembarque Tudo feito com muito carinho! 😍</t>
  </si>
  <si>
    <t>09/06/2017, 16:48:33</t>
  </si>
  <si>
    <t>https://www.instagram.com/voegoloficial</t>
  </si>
  <si>
    <t>https://instagram.fcgh5-1.fna.fbcdn.net/v/t51.82787-19/622368293_18568857739034364_158943298018910527_n.jpg?stp=dst-jpg_s150x150_tt6&amp;efg=eyJ2ZW5jb2RlX3RhZyI6InByb2ZpbGVfcGljLmRqYW5nby4xMDAwLmMyIn0&amp;_nc_ht=instagram.fcgh5-1.fna.fbcdn.net&amp;_nc_cat=1&amp;_nc_oc=Q6cZ2gFAMRroBkHs7W-10rxbGY6maZ6ps-p2n2OkF8ww6E7Ar54VOSXRAovEOAF2qIMcBHodBJyDNUcb4zCl4QJF633N&amp;_nc_ohc=k4-ye3CSM3YQ7kNvwGeMGAQ&amp;_nc_gid=MuVr7PO8vOSG77f9JK53DA&amp;edm=AI-cjbYBAAAA&amp;ccb=7-5&amp;oh=00_Af1jpBIIM6GgR9EW0yjgERPAGp9SAc0Ee0LheKI4xsax2A&amp;oe=69D8CE99&amp;_nc_sid=0985b0</t>
  </si>
  <si>
    <t>dezmilmilhas</t>
  </si>
  <si>
    <t>Adorei! Campanha super legal!</t>
  </si>
  <si>
    <t>09/06/2017, 17:39:15</t>
  </si>
  <si>
    <t>https://www.instagram.com/dezmilmilhas</t>
  </si>
  <si>
    <t>https://instagram.fcgh5-1.fna.fbcdn.net/v/t51.2885-19/344798071_929208324786790_4935567584116934429_n.jpg?stp=dst-jpg_s150x150_tt6&amp;efg=eyJ2ZW5jb2RlX3RhZyI6InByb2ZpbGVfcGljLmRqYW5nby4xMDgwLmMyIn0&amp;_nc_ht=instagram.fcgh5-1.fna.fbcdn.net&amp;_nc_cat=110&amp;_nc_oc=Q6cZ2gFAMRroBkHs7W-10rxbGY6maZ6ps-p2n2OkF8ww6E7Ar54VOSXRAovEOAF2qIMcBHodBJyDNUcb4zCl4QJF633N&amp;_nc_ohc=I1-PgotDZk0Q7kNvwGi4xlO&amp;_nc_gid=MuVr7PO8vOSG77f9JK53DA&amp;edm=AI-cjbYBAAAA&amp;ccb=7-5&amp;oh=00_Af0zpoPxPB3vMIabNZ48O6dyoHWyKht1civg4quX77wYWQ&amp;oe=69D8CEA9&amp;_nc_sid=0985b0</t>
  </si>
  <si>
    <t>vansbarboza</t>
  </si>
  <si>
    <t>Que muito ❤️❤️❤️</t>
  </si>
  <si>
    <t>09/06/2017, 21:19:25</t>
  </si>
  <si>
    <t>https://www.instagram.com/vansbarboza</t>
  </si>
  <si>
    <t>https://instagram.fcgh5-2.fna.fbcdn.net/v/t51.82787-19/651468904_18566148211037664_2424336977655174482_n.jpg?stp=dst-jpg_s150x150_tt6&amp;efg=eyJ2ZW5jb2RlX3RhZyI6InByb2ZpbGVfcGljLmRqYW5nby45NjAuYzIifQ&amp;_nc_ht=instagram.fcgh5-2.fna.fbcdn.net&amp;_nc_cat=100&amp;_nc_oc=Q6cZ2gFAMRroBkHs7W-10rxbGY6maZ6ps-p2n2OkF8ww6E7Ar54VOSXRAovEOAF2qIMcBHodBJyDNUcb4zCl4QJF633N&amp;_nc_ohc=LmamY0IvEV0Q7kNvwF_FSce&amp;_nc_gid=MuVr7PO8vOSG77f9JK53DA&amp;edm=AI-cjbYBAAAA&amp;ccb=7-5&amp;oh=00_Af2UKAxtKFTMrLZpufJnLYhE8-gW1iSMsWsPLJ3vEr0p4A&amp;oe=69D8C4A7&amp;_nc_sid=0985b0</t>
  </si>
  <si>
    <t>boa inciativa</t>
  </si>
  <si>
    <t>28/03/2019, 12:58:06</t>
  </si>
  <si>
    <t>https://instagram.fcgh5-2.fna.fbcdn.net/v/t51.2885-19/339496470_248793697582848_5553369412295405625_n.jpg?stp=dst-jpg_s150x150_tt6&amp;efg=eyJ2ZW5jb2RlX3RhZyI6InByb2ZpbGVfcGljLmRqYW5nby40ODMuYzIifQ&amp;_nc_ht=instagram.fcgh5-2.fna.fbcdn.net&amp;_nc_cat=100&amp;_nc_oc=Q6cZ2gFQ67v2XVuoU1SapTNhovGuv5niC1pqRhhoPuIja1xoI6RzqyJObUfEmCbKqwUGXmefwKLK0HQjnElmUssC3pWt&amp;_nc_ohc=HKXTbfbx56YQ7kNvwGhGmkp&amp;_nc_gid=o8gw1s4A-wZ4HxDCOlEmcQ&amp;edm=AI-cjbYBAAAA&amp;ccb=7-5&amp;oh=00_Af3tXklX8CQ-CJ300EHG0_043tdFSOc5Ffume5vagNlU4g&amp;oe=69D8B3A8&amp;_nc_sid=0985b0</t>
  </si>
  <si>
    <t>toolsofsensei</t>
  </si>
  <si>
    <t>☺🌸</t>
  </si>
  <si>
    <t>28/03/2019, 10:04:55</t>
  </si>
  <si>
    <t>https://www.instagram.com/toolsofsensei</t>
  </si>
  <si>
    <t>https://instagram.fcgh5-1.fna.fbcdn.net/v/t51.2885-19/491444816_1779179319318974_2976616197110735409_n.jpg?stp=dst-jpg_s150x150_tt6&amp;efg=eyJ2ZW5jb2RlX3RhZyI6InByb2ZpbGVfcGljLmRqYW5nby4xMDgwLmMyIn0&amp;_nc_ht=instagram.fcgh5-1.fna.fbcdn.net&amp;_nc_cat=102&amp;_nc_oc=Q6cZ2gFc0kRB1Aiyl-0PAKt8BMNGWhE_i3j4M97Viz9kWL8h_NRHjRax2YmjLWNVndor8jXIdRe0BBh0lO3FXv66z57o&amp;_nc_ohc=RgPVPqCeo6gQ7kNvwGGhlJW&amp;_nc_gid=aBM344BcRD_rpNnKOFC-Tg&amp;edm=AI-cjbYBAAAA&amp;ccb=7-5&amp;oh=00_Af1nSfO9BAO4K2yaF16dY7-JyHf5i4T7wrtO-GenAxb3aw&amp;oe=69D8B0D6&amp;_nc_sid=0985b0</t>
  </si>
  <si>
    <t>aupairandmandarin</t>
  </si>
  <si>
    <t>Amazing absolutely</t>
  </si>
  <si>
    <t>31/03/2019, 21:51:34</t>
  </si>
  <si>
    <t>https://www.instagram.com/aupairandmandarin</t>
  </si>
  <si>
    <t>https://instagram.fcgh5-1.fna.fbcdn.net/v/t51.2885-19/278653602_1195430901293147_2724876048517444598_n.jpg?stp=dst-jpg_s150x150_tt6&amp;efg=eyJ2ZW5jb2RlX3RhZyI6InByb2ZpbGVfcGljLmRqYW5nby41MDAuYzIifQ&amp;_nc_ht=instagram.fcgh5-1.fna.fbcdn.net&amp;_nc_cat=111&amp;_nc_oc=Q6cZ2gFc0kRB1Aiyl-0PAKt8BMNGWhE_i3j4M97Viz9kWL8h_NRHjRax2YmjLWNVndor8jXIdRe0BBh0lO3FXv66z57o&amp;_nc_ohc=46m10KNp3QgQ7kNvwFaroWb&amp;_nc_gid=aBM344BcRD_rpNnKOFC-Tg&amp;edm=AI-cjbYBAAAA&amp;ccb=7-5&amp;oh=00_Af27jFjzDSVGVWHsZZqe4V980poddAiljdyadX8kTiMqHg&amp;oe=69D8B5C6&amp;_nc_sid=0985b0</t>
  </si>
  <si>
    <t>https://instagram.fcgh5-1.fna.fbcdn.net/v/t51.2885-19/491444816_1779179319318974_2976616197110735409_n.jpg?stp=dst-jpg_s150x150_tt6&amp;efg=eyJ2ZW5jb2RlX3RhZyI6InByb2ZpbGVfcGljLmRqYW5nby4xMDgwLmMyIn0&amp;_nc_ht=instagram.fcgh5-1.fna.fbcdn.net&amp;_nc_cat=102&amp;_nc_oc=Q6cZ2gHK4JI9-wrKYJwaoNOyNckZ9rAdwLDbayfZJAI-pmbKw1u8Pdq-l6DkKWxGHpusbyNiA_DWRbkX9WxwT53rB3BZ&amp;_nc_ohc=RgPVPqCeo6gQ7kNvwGGhlJW&amp;_nc_gid=3fGBq43W2-YVnWTeRdW5aw&amp;edm=AI-cjbYBAAAA&amp;ccb=7-5&amp;oh=00_Af0tAQepK46bI-qfmOuozO-Muc-3T0UsA5ChMHrzwdyQYg&amp;oe=69D8B0D6&amp;_nc_sid=0985b0</t>
  </si>
  <si>
    <t>https://instagram.fcgh5-1.fna.fbcdn.net/v/t51.2885-19/278653602_1195430901293147_2724876048517444598_n.jpg?stp=dst-jpg_s150x150_tt6&amp;efg=eyJ2ZW5jb2RlX3RhZyI6InByb2ZpbGVfcGljLmRqYW5nby41MDAuYzIifQ&amp;_nc_ht=instagram.fcgh5-1.fna.fbcdn.net&amp;_nc_cat=111&amp;_nc_oc=Q6cZ2gHK4JI9-wrKYJwaoNOyNckZ9rAdwLDbayfZJAI-pmbKw1u8Pdq-l6DkKWxGHpusbyNiA_DWRbkX9WxwT53rB3BZ&amp;_nc_ohc=46m10KNp3QgQ7kNvwFaroWb&amp;_nc_gid=3fGBq43W2-YVnWTeRdW5aw&amp;edm=AI-cjbYBAAAA&amp;ccb=7-5&amp;oh=00_Af01IScO6sHbxsjf56nh5wovliVogkUu5-ELrvmF6kBCrQ&amp;oe=69D8B5C6&amp;_nc_sid=0985b0</t>
  </si>
  <si>
    <t>terraco_insalata</t>
  </si>
  <si>
    <t>25/06/2017, 10:29:05</t>
  </si>
  <si>
    <t>https://www.instagram.com/terraco_insalata</t>
  </si>
  <si>
    <t>https://instagram.fcgh5-2.fna.fbcdn.net/v/t51.2885-19/24845415_1940450209537458_3614626828292980736_n.jpg?stp=dst-jpg_s150x150_tt6&amp;efg=eyJ2ZW5jb2RlX3RhZyI6InByb2ZpbGVfcGljLmRqYW5nby4xMDgwLmMyIn0&amp;_nc_ht=instagram.fcgh5-2.fna.fbcdn.net&amp;_nc_cat=106&amp;_nc_oc=Q6cZ2gG1lPl8eTGeNFZM2oa-w7z8hKmRYHankEnflSzNAnFbnufDeXKDlgR3uS1sWCllvhixnlmbwhvXGUBKLBDr072M&amp;_nc_ohc=nklzwIz33pUQ7kNvwEETNnT&amp;_nc_gid=5zuJbbO-dw7fwpHuOq-6Vw&amp;edm=AI-cjbYBAAAA&amp;ccb=7-5&amp;oh=00_Af0WIB0X0EwGqXfKh6FuDu1UJKCW0FrT2ME8iGW4bnGbrA&amp;oe=69D8EA05&amp;_nc_sid=0985b0</t>
  </si>
  <si>
    <t>marcohanna</t>
  </si>
  <si>
    <t>🙌🏻!!!!</t>
  </si>
  <si>
    <t>28/06/2017, 20:36:47</t>
  </si>
  <si>
    <t>https://www.instagram.com/marcohanna</t>
  </si>
  <si>
    <t>https://instagram.fcgh5-2.fna.fbcdn.net/v/t51.2885-19/242844309_379147930367509_4985953802347940401_n.jpg?stp=dst-jpg_s150x150_tt6&amp;efg=eyJ2ZW5jb2RlX3RhZyI6InByb2ZpbGVfcGljLmRqYW5nby4zMjAuYzIifQ&amp;_nc_ht=instagram.fcgh5-2.fna.fbcdn.net&amp;_nc_cat=101&amp;_nc_oc=Q6cZ2gG1lPl8eTGeNFZM2oa-w7z8hKmRYHankEnflSzNAnFbnufDeXKDlgR3uS1sWCllvhixnlmbwhvXGUBKLBDr072M&amp;_nc_ohc=RJI37IR9bVAQ7kNvwGj4s-R&amp;_nc_gid=5zuJbbO-dw7fwpHuOq-6Vw&amp;edm=AI-cjbYBAAAA&amp;ccb=7-5&amp;oh=00_Af2xPcBvFO37tVJ72NvIFouuDmNhFFSqKs49NYid0juiTw&amp;oe=69D8EE63&amp;_nc_sid=0985b0</t>
  </si>
  <si>
    <t>grandpaswallet</t>
  </si>
  <si>
    <t>Check out my instagram and get great deals✌</t>
  </si>
  <si>
    <t>26/06/2017, 09:54:34</t>
  </si>
  <si>
    <t>https://www.instagram.com/grandpaswallet</t>
  </si>
  <si>
    <t>https://instagram.fcgh5-1.fna.fbcdn.net/v/t51.2885-19/21980466_118319278846509_8123757248259293184_n.jpg?stp=dst-jpg_s150x150_tt6&amp;efg=eyJ2ZW5jb2RlX3RhZyI6InByb2ZpbGVfcGljLmRqYW5nby40MTEuYzIifQ&amp;_nc_ht=instagram.fcgh5-1.fna.fbcdn.net&amp;_nc_cat=109&amp;_nc_oc=Q6cZ2gGhpcU1gYIjVEUwSGA4Kksoeg0TOaSsENob5PcpxhtqY1if1qprOg1hMHfOZnXEP30SfgqgfKVE7BxJK6gmrbmr&amp;_nc_ohc=Z_q_V_Yvth0Q7kNvwGHeCC3&amp;_nc_gid=Q7yOyHqlyeMzcM5d7bK9hw&amp;edm=AI-cjbYBAAAA&amp;ccb=7-5&amp;oh=00_Af3GkpI1cuW_K1wZQ8bclZWOm7o1aY-zTvO92ikTEW1Q0g&amp;oe=69D8F29C&amp;_nc_sid=0985b0</t>
  </si>
  <si>
    <t>gelatoaffetto</t>
  </si>
  <si>
    <t>26/06/2017, 12:43:10</t>
  </si>
  <si>
    <t>https://www.instagram.com/gelatoaffetto</t>
  </si>
  <si>
    <t>https://instagram.fcgh5-2.fna.fbcdn.net/v/t51.2885-19/285662874_587007606092544_4015009687581175192_n.jpg?stp=dst-jpg_s150x150_tt6&amp;efg=eyJ2ZW5jb2RlX3RhZyI6InByb2ZpbGVfcGljLmRqYW5nby4zMjAuYzIifQ&amp;_nc_ht=instagram.fcgh5-2.fna.fbcdn.net&amp;_nc_cat=100&amp;_nc_oc=Q6cZ2gGhpcU1gYIjVEUwSGA4Kksoeg0TOaSsENob5PcpxhtqY1if1qprOg1hMHfOZnXEP30SfgqgfKVE7BxJK6gmrbmr&amp;_nc_ohc=zQeyHRk750sQ7kNvwHOxNnH&amp;_nc_gid=Q7yOyHqlyeMzcM5d7bK9hw&amp;edm=AI-cjbYBAAAA&amp;ccb=7-5&amp;oh=00_Af1EEFCfLEuz7IRQipTkoDPGrD2z3FT-ZYnfsgxETR1XNA&amp;oe=69D8E8F1&amp;_nc_sid=0985b0</t>
  </si>
  <si>
    <t>kaamile_oliveira</t>
  </si>
  <si>
    <t>revistaembarque - Revista, Ganhe seguidores em www.igseguidores .com (13/06 23:11) #A3eZvnzxrs</t>
  </si>
  <si>
    <t>13/06/2017, 23:11:01</t>
  </si>
  <si>
    <t>https://www.instagram.com/kaamile_oliveira</t>
  </si>
  <si>
    <t>https://instagram.fcgh5-1.fna.fbcdn.net/v/t51.2885-19/91091900_199646788142900_1002438061147029504_n.jpg?stp=dst-jpg_s150x150_tt6&amp;efg=eyJ2ZW5jb2RlX3RhZyI6InByb2ZpbGVfcGljLmRqYW5nby42NDcuYzIifQ&amp;_nc_ht=instagram.fcgh5-1.fna.fbcdn.net&amp;_nc_cat=108&amp;_nc_oc=Q6cZ2gEJAaHhVR0xuqzaBipZlEpjkOUi-k4QeZGUt6wKjP1SMu0NRn7PEph4y8ofWn91atkbuJhNwD5DU-vwd77b5moe&amp;_nc_ohc=k39alSFwvpsQ7kNvwF2bWEj&amp;_nc_gid=YZgaMNJKIqrqknNGxyu_yA&amp;edm=AI-cjbYBAAAA&amp;ccb=7-5&amp;oh=00_Af27mUOQLAv2X9Nk7GFjVF1S47fMf4iPpH5UCyfwh8y2nA&amp;oe=69D8E0E6&amp;_nc_sid=0985b0</t>
  </si>
  <si>
    <t>🙌🏻....</t>
  </si>
  <si>
    <t>27/06/2017, 16:06:18</t>
  </si>
  <si>
    <t>https://instagram.fcgh5-2.fna.fbcdn.net/v/t51.2885-19/242844309_379147930367509_4985953802347940401_n.jpg?stp=dst-jpg_s150x150_tt6&amp;efg=eyJ2ZW5jb2RlX3RhZyI6InByb2ZpbGVfcGljLmRqYW5nby4zMjAuYzIifQ&amp;_nc_ht=instagram.fcgh5-2.fna.fbcdn.net&amp;_nc_cat=101&amp;_nc_oc=Q6cZ2gEErgdsgvC6QT2-Cu1ic-z9Oh3XjEJwoYs5GORCWBl-1fL6JLJf-N-PUj0BqZd_ZF1MycBoweOaYwBFkY7vmSYv&amp;_nc_ohc=RJI37IR9bVAQ7kNvwGj4s-R&amp;_nc_gid=lxzmKKim6dHyqm6rXRg_iA&amp;edm=AI-cjbYBAAAA&amp;ccb=7-5&amp;oh=00_Af3_gcoFqO8lQzKK3avmNqRwpFx8y3I_-VZewO5Lcb5Zzg&amp;oe=69D8EE63&amp;_nc_sid=0985b0</t>
  </si>
  <si>
    <t>davverogelato</t>
  </si>
  <si>
    <t>Esse chocolate aquece até a alma, não é @revistaembarque ? ☺️🍦</t>
  </si>
  <si>
    <t>04/07/2017, 15:48:47</t>
  </si>
  <si>
    <t>https://www.instagram.com/davverogelato</t>
  </si>
  <si>
    <t>https://instagram.fcgh5-2.fna.fbcdn.net/v/t51.82787-19/656306191_18579252439012312_4753773183377138917_n.jpg?stp=dst-jpg_s150x150_tt6&amp;efg=eyJ2ZW5jb2RlX3RhZyI6InByb2ZpbGVfcGljLmRqYW5nby4xMDgwLmMyIn0&amp;_nc_ht=instagram.fcgh5-2.fna.fbcdn.net&amp;_nc_cat=104&amp;_nc_oc=Q6cZ2gEjBuhOeXXZ_5iYtIHj8gXpFEJVs-EmCkj9KxvUKFDSxEj_ObkiEGnZs6JsCDABuMztQm888p9rhqv8muqSHY_M&amp;_nc_ohc=6IEaiiWp0hkQ7kNvwE9cc21&amp;_nc_gid=3L1OGUeX2CM5i-mMR3_TEg&amp;edm=AI-cjbYBAAAA&amp;ccb=7-5&amp;oh=00_Af3VFv9kL5RwxI41sor7118h6r5-NLzIfA4lbh6Y56ZHcw&amp;oe=69D8F08B&amp;_nc_sid=0985b0</t>
  </si>
  <si>
    <t>coletivodeviagem</t>
  </si>
  <si>
    <t>😎😎 !!</t>
  </si>
  <si>
    <t>28/06/2017, 17:32:52</t>
  </si>
  <si>
    <t>https://www.instagram.com/coletivodeviagem</t>
  </si>
  <si>
    <t>https://instagram.fcgh5-1.fna.fbcdn.net/v/t51.2885-19/11203484_794485610628395_1186641311_a.jpg?stp=dst-jpg_s150x150_tt6&amp;efg=eyJ2ZW5jb2RlX3RhZyI6InByb2ZpbGVfcGljLmRqYW5nby4xNTAuYzIifQ&amp;_nc_ht=instagram.fcgh5-1.fna.fbcdn.net&amp;_nc_cat=111&amp;_nc_oc=Q6cZ2gHOPd5Yn1PZEXlp73WaLrlEtgJe9iG8VdHDrB3ZKj1czYQwKLEXvjLx5SKmXOsgDeOQtRtj236YNJbUXhXwiXHr&amp;_nc_ohc=Qbc-E_rC4mkQ7kNvwHU77i8&amp;_nc_gid=ipDIxSVEte5RcyUVd56yqQ&amp;edm=AI-cjbYBAAAA&amp;ccb=7-5&amp;oh=00_Af0tw1QM9T2h_EMZAZMZIlK3AxP46v7lzNdiqQ1eJa-1XQ&amp;oe=69D8F53B&amp;_nc_sid=0985b0</t>
  </si>
  <si>
    <t>lava.catering</t>
  </si>
  <si>
    <t>👍👍🔝..</t>
  </si>
  <si>
    <t>25/07/2017, 02:55:25</t>
  </si>
  <si>
    <t>https://www.instagram.com/lava.catering</t>
  </si>
  <si>
    <t>https://instagram.fcgh5-2.fna.fbcdn.net/v/t51.2885-19/53556224_2298479363578000_8441500758473441280_n.jpg?stp=dst-jpg_s150x150_tt6&amp;efg=eyJ2ZW5jb2RlX3RhZyI6InByb2ZpbGVfcGljLmRqYW5nby44MDkuYzIifQ&amp;_nc_ht=instagram.fcgh5-2.fna.fbcdn.net&amp;_nc_cat=104&amp;_nc_oc=Q6cZ2gErMPl8Zdh3C58VlVwP9H1lfld3fDx4WYlpsi2vftP_ThN4S3nFsCY8zpmtVnrcb-9aU5GZIgJBV3JI6ZjtBYr6&amp;_nc_ohc=bbmmst04fdkQ7kNvwFsjjGS&amp;_nc_gid=KIEEwBSxA20tfU58R_NvmQ&amp;edm=AI-cjbYBAAAA&amp;ccb=7-5&amp;oh=00_Af1Gw9v6EJb5ZJdbXW32IeXjCbK9LaPgwJcJwGm61j1wKg&amp;oe=69D8EFD0&amp;_nc_sid=0985b0</t>
  </si>
  <si>
    <t>https://instagram.fcgh5-2.fna.fbcdn.net/v/t51.2885-19/53556224_2298479363578000_8441500758473441280_n.jpg?stp=dst-jpg_s150x150_tt6&amp;efg=eyJ2ZW5jb2RlX3RhZyI6InByb2ZpbGVfcGljLmRqYW5nby44MDkuYzIifQ&amp;_nc_ht=instagram.fcgh5-2.fna.fbcdn.net&amp;_nc_cat=104&amp;_nc_oc=Q6cZ2gELr65_EmZo71U0Y6U2WVbX4ZYQjpaP0PLlwqWAiB20NtWL_N0kok_aDSTYIByyhbO4zgQ3wHt-3hVRuh5yp21n&amp;_nc_ohc=bbmmst04fdkQ7kNvwFsjjGS&amp;_nc_gid=BWXahKLJnTTTcCtqGOHP-Q&amp;edm=AI-cjbYBAAAA&amp;ccb=7-5&amp;oh=00_Af2kG5DA6d1sNu-RCAf2lj1XNNeJx2XMGPMJs80mKVFGjg&amp;oe=69D8EFD0&amp;_nc_sid=0985b0</t>
  </si>
  <si>
    <t>lemoneyturbocashback</t>
  </si>
  <si>
    <t>Check our instagram, I think you 'll love what we got 😉</t>
  </si>
  <si>
    <t>12/07/2017, 16:36:38</t>
  </si>
  <si>
    <t>https://www.instagram.com/lemoneyturbocashback</t>
  </si>
  <si>
    <t>https://instagram.fcgh5-2.fna.fbcdn.net/v/t51.2885-19/67180372_2623539577691304_4388126480975003648_n.jpg?stp=dst-jpg_s150x150_tt6&amp;efg=eyJ2ZW5jb2RlX3RhZyI6InByb2ZpbGVfcGljLmRqYW5nby4xMDgwLmMyIn0&amp;_nc_ht=instagram.fcgh5-2.fna.fbcdn.net&amp;_nc_cat=100&amp;_nc_oc=Q6cZ2gE7pqztofHRgQWFZMB_UbnBpokNL5Xz8kbYfUqfYM6TpvAHJFafYhoQEdbWjvtFbipnKgsCub8qrPjTjwQzVvix&amp;_nc_ohc=6q0pk0Npm2IQ7kNvwGv6BBE&amp;_nc_gid=hS_mt3mbtyWfBXOXCG1qNw&amp;edm=AI-cjbYBAAAA&amp;ccb=7-5&amp;oh=00_Af0DrxKtRnysUdaPGIAwwSzW0puJnmiN5O3K0nZgSqnOxg&amp;oe=69D8E8C6&amp;_nc_sid=0985b0</t>
  </si>
  <si>
    <t>lowbudgetbill</t>
  </si>
  <si>
    <t>Take a look at my profile and enjoy great things in life on a limited budget ;)</t>
  </si>
  <si>
    <t>13/07/2017, 03:56:12</t>
  </si>
  <si>
    <t>https://www.instagram.com/lowbudgetbill</t>
  </si>
  <si>
    <t>https://instagram.fcgh5-2.fna.fbcdn.net/v/t51.2885-19/16464003_1872716116339717_7334271143186006016_n.jpg?stp=dst-jpg_s150x150_tt6&amp;efg=eyJ2ZW5jb2RlX3RhZyI6InByb2ZpbGVfcGljLmRqYW5nby4xMDgwLmMyIn0&amp;_nc_ht=instagram.fcgh5-2.fna.fbcdn.net&amp;_nc_cat=101&amp;_nc_oc=Q6cZ2gE7pqztofHRgQWFZMB_UbnBpokNL5Xz8kbYfUqfYM6TpvAHJFafYhoQEdbWjvtFbipnKgsCub8qrPjTjwQzVvix&amp;_nc_ohc=crSiJf7CtkAQ7kNvwEoddQ7&amp;_nc_gid=hS_mt3mbtyWfBXOXCG1qNw&amp;edm=AI-cjbYBAAAA&amp;ccb=7-5&amp;oh=00_Af1GTdwwrM7bwmWC8XZUiHi1BKQHml5aVzc3fmF3v6ymSA&amp;oe=69D8D0DC&amp;_nc_sid=0985b0</t>
  </si>
  <si>
    <t>bodyflying_books</t>
  </si>
  <si>
    <t>👌🏼</t>
  </si>
  <si>
    <t>19/07/2017, 08:14:45</t>
  </si>
  <si>
    <t>https://www.instagram.com/bodyflying_books</t>
  </si>
  <si>
    <t>https://instagram.fcgh5-1.fna.fbcdn.net/v/t51.2885-19/503606071_18397634965136840_4686208178666916957_n.jpg?stp=dst-jpg_s150x150_tt6&amp;efg=eyJ2ZW5jb2RlX3RhZyI6InByb2ZpbGVfcGljLmRqYW5nby4xMDgwLmMyIn0&amp;_nc_ht=instagram.fcgh5-1.fna.fbcdn.net&amp;_nc_cat=108&amp;_nc_oc=Q6cZ2gFNi3pffNFyfx-J-AqZmwL6VW_S_pEfjCxIttPEEhXOtmBCPiGuh6aaUvVBICYzROBoklZ8OLCKr-jB8eG2YACW&amp;_nc_ohc=ZgRGE46xpGgQ7kNvwHvv402&amp;_nc_gid=0q083zXs4kK3dKniPXiUNg&amp;edm=AI-cjbYBAAAA&amp;ccb=7-5&amp;oh=00_Af0NFiSbr24yXgSirkQ5ZEac4UFevgw3BOsPcsXyzyNdVw&amp;oe=69D8DC5B&amp;_nc_sid=0985b0</t>
  </si>
  <si>
    <t>prefeituragalinhos</t>
  </si>
  <si>
    <t>🔝🔝...</t>
  </si>
  <si>
    <t>20/07/2017, 17:01:51</t>
  </si>
  <si>
    <t>https://www.instagram.com/prefeituragalinhos</t>
  </si>
  <si>
    <t>https://instagram.fcgh5-1.fna.fbcdn.net/v/t51.2885-19/497481845_18358302004182314_8324750567879112760_n.jpg?stp=dst-jpg_s150x150_tt6&amp;efg=eyJ2ZW5jb2RlX3RhZyI6InByb2ZpbGVfcGljLmRqYW5nby4xMDgwLmMyIn0&amp;_nc_ht=instagram.fcgh5-1.fna.fbcdn.net&amp;_nc_cat=102&amp;_nc_oc=Q6cZ2gHUX65bUbsBTwEuA_PoW80HqAW2C2Yf66n27x0FkwbOCM2PDGySRS1X7lfjfzwQxJcge1k52sk2y4GsOHz_li0p&amp;_nc_ohc=t7YiDLbDmX4Q7kNvwF19GgU&amp;_nc_gid=WapAE_zSqcExL_LcBCpgAg&amp;edm=AI-cjbYBAAAA&amp;ccb=7-5&amp;oh=00_Af3DycGGzS_V1YKW7bCOmK7iZY_iPHJraV9W0NoJ8pi_kw&amp;oe=69D8D4B3&amp;_nc_sid=0985b0</t>
  </si>
  <si>
    <t>https://instagram.fcgh5-1.fna.fbcdn.net/v/t51.2885-19/497481845_18358302004182314_8324750567879112760_n.jpg?stp=dst-jpg_s150x150_tt6&amp;efg=eyJ2ZW5jb2RlX3RhZyI6InByb2ZpbGVfcGljLmRqYW5nby4xMDgwLmMyIn0&amp;_nc_ht=instagram.fcgh5-1.fna.fbcdn.net&amp;_nc_cat=102&amp;_nc_oc=Q6cZ2gGjvN9M1PZMcVoBsbS32T0iobdl9p95jCr3pNb8JC0OXXBu7xrzSHcWlg5J0MZr_beJaCV6DmmIwU4jyOzZTs7f&amp;_nc_ohc=t7YiDLbDmX4Q7kNvwF19GgU&amp;_nc_gid=IFdcqfzM3kkzjhhaP0Dtdg&amp;edm=AI-cjbYBAAAA&amp;ccb=7-5&amp;oh=00_Af0DhmwF_ljng--ZUFSyQl3rQFnXOl8dY3WePy4_xja8gw&amp;oe=69D8D4B3&amp;_nc_sid=0985b0</t>
  </si>
  <si>
    <t>13/04/2019, 17:49:07</t>
  </si>
  <si>
    <t>https://instagram.fcgh5-1.fna.fbcdn.net/v/t51.82787-19/629192159_18552724234054502_2673385030381474984_n.jpg?stp=dst-jpg_s150x150_tt6&amp;efg=eyJ2ZW5jb2RlX3RhZyI6InByb2ZpbGVfcGljLmRqYW5nby4xMDgwLmMyIn0&amp;_nc_ht=instagram.fcgh5-1.fna.fbcdn.net&amp;_nc_cat=102&amp;_nc_oc=Q6cZ2gEwMJsfbihEJi77Mp1tX2buOvl1EGBvcXBiTpUHLyrnqWCpKYiL2BuXnmEit1KR-FMZM87_jbcjPL2ab8V2hDDS&amp;_nc_ohc=G456tT05DO0Q7kNvwHWuJKr&amp;_nc_gid=x25wCljuOqaUWk2wbAhkNQ&amp;edm=AI-cjbYBAAAA&amp;ccb=7-5&amp;oh=00_Af1i-kQSB4XGq8I5Twxar3DvHZTnQf5IIb0nb3441hU9vQ&amp;oe=69D8D719&amp;_nc_sid=0985b0</t>
  </si>
  <si>
    <t>c.u.r.a.a</t>
  </si>
  <si>
    <t>👏🏼👏🏼</t>
  </si>
  <si>
    <t>24/04/2019, 17:01:30</t>
  </si>
  <si>
    <t>https://www.instagram.com/c.u.r.a.a</t>
  </si>
  <si>
    <t>https://instagram.fcgh5-2.fna.fbcdn.net/v/t51.2885-19/353593086_165017076550825_6928294019615316126_n.jpg?stp=dst-jpg_s150x150_tt6&amp;efg=eyJ2ZW5jb2RlX3RhZyI6InByb2ZpbGVfcGljLmRqYW5nby4xMDgwLmMyIn0&amp;_nc_ht=instagram.fcgh5-2.fna.fbcdn.net&amp;_nc_cat=101&amp;_nc_oc=Q6cZ2gFk4LgXUP9IhgZiVgaPQkaoET7jsfAHmoHOvO0iVkLKhfJXfyC8oQmIdNS2AYKjDDZ1XI_78j9b7GOXYsrPcU7t&amp;_nc_ohc=iq-Oh9JucRYQ7kNvwH59vLB&amp;_nc_gid=KPBXhyrr_v5yyNCmDmY7eQ&amp;edm=AI-cjbYBAAAA&amp;ccb=7-5&amp;oh=00_Af100Wkaelw9Z5AGGJ4hjGuNB4PkMf_9GpOK-NaAjQCIjQ&amp;oe=69D8C1A3&amp;_nc_sid=0985b0</t>
  </si>
  <si>
    <t>❤️</t>
  </si>
  <si>
    <t>24/04/2019, 21:49:37</t>
  </si>
  <si>
    <t>https://instagram.fcgh5-1.fna.fbcdn.net/v/t51.82787-19/629192159_18552724234054502_2673385030381474984_n.jpg?stp=dst-jpg_s150x150_tt6&amp;efg=eyJ2ZW5jb2RlX3RhZyI6InByb2ZpbGVfcGljLmRqYW5nby4xMDgwLmMyIn0&amp;_nc_ht=instagram.fcgh5-1.fna.fbcdn.net&amp;_nc_cat=102&amp;_nc_oc=Q6cZ2gFk4LgXUP9IhgZiVgaPQkaoET7jsfAHmoHOvO0iVkLKhfJXfyC8oQmIdNS2AYKjDDZ1XI_78j9b7GOXYsrPcU7t&amp;_nc_ohc=G456tT05DO0Q7kNvwHWuJKr&amp;_nc_gid=KPBXhyrr_v5yyNCmDmY7eQ&amp;edm=AI-cjbYBAAAA&amp;ccb=7-5&amp;oh=00_Af2WF45R_3bdkOWHU3a_8kTwwQXY2AJ7Ge9WVCzoayufcg&amp;oe=69D8D719&amp;_nc_sid=0985b0</t>
  </si>
  <si>
    <t>compotacriativa</t>
  </si>
  <si>
    <t>24/04/2019, 20:51:38</t>
  </si>
  <si>
    <t>https://www.instagram.com/compotacriativa</t>
  </si>
  <si>
    <t>https://instagram.fcgh5-1.fna.fbcdn.net/v/t51.2885-19/150692772_247539206852469_4663863453290172055_n.jpg?stp=dst-jpg_s150x150_tt6&amp;efg=eyJ2ZW5jb2RlX3RhZyI6InByb2ZpbGVfcGljLmRqYW5nby4xMDgwLmMyIn0&amp;_nc_ht=instagram.fcgh5-1.fna.fbcdn.net&amp;_nc_cat=109&amp;_nc_oc=Q6cZ2gEut_6sncET1gxItWgPdUm7nDLnkvVjBcNKtzhINZhqNoFlam_tDw-4Y3Fld3Fi6NJ7K7cMz7CokKsVLplj811-&amp;_nc_ohc=VoKxiOU9IfMQ7kNvwEoraH-&amp;_nc_gid=-tnHtHcbLdmaxg3tWbOmoQ&amp;edm=AI-cjbYBAAAA&amp;ccb=7-5&amp;oh=00_Af2_szCzpZ4H-IL3Kz5YQdBRNsi8-vC1pwLdCJCahDLSig&amp;oe=69D8D373&amp;_nc_sid=0985b0</t>
  </si>
  <si>
    <t>https://instagram.fcgh5-1.fna.fbcdn.net/v/t51.2885-19/150692772_247539206852469_4663863453290172055_n.jpg?stp=dst-jpg_s150x150_tt6&amp;efg=eyJ2ZW5jb2RlX3RhZyI6InByb2ZpbGVfcGljLmRqYW5nby4xMDgwLmMyIn0&amp;_nc_ht=instagram.fcgh5-1.fna.fbcdn.net&amp;_nc_cat=109&amp;_nc_oc=Q6cZ2gG2a02fE33Efj9PPGGYKt5mLobVm7PBKBDELia3PcWkQshNiCQtC53_jI8rq-O7LQSXRUwYzPWBSQjC2472FcVq&amp;_nc_ohc=VoKxiOU9IfMQ7kNvwEoraH-&amp;_nc_gid=muaqWnSjAm8xEFApXD4QCA&amp;edm=AI-cjbYBAAAA&amp;ccb=7-5&amp;oh=00_Af1fToKGQ_M-WJqzwH0RJJnJCTAZT_lL5imDN22RDqkqkw&amp;oe=69D8D373&amp;_nc_sid=0985b0</t>
  </si>
  <si>
    <t>https://instagram.fcgh5-1.fna.fbcdn.net/v/t51.2885-19/150692772_247539206852469_4663863453290172055_n.jpg?stp=dst-jpg_s150x150_tt6&amp;efg=eyJ2ZW5jb2RlX3RhZyI6InByb2ZpbGVfcGljLmRqYW5nby4xMDgwLmMyIn0&amp;_nc_ht=instagram.fcgh5-1.fna.fbcdn.net&amp;_nc_cat=109&amp;_nc_oc=Q6cZ2gHfwb68eRLe6Ke0DuF7_2KBGs_7q2uGQURJkf781Eh2SKFTp3E8IPuCXTrRe83HZr2rCg6vaPcPH4787L5fJCf7&amp;_nc_ohc=VoKxiOU9IfMQ7kNvwEoraH-&amp;_nc_gid=X7s8IokPhFdqpcDIkxEaRQ&amp;edm=AI-cjbYBAAAA&amp;ccb=7-5&amp;oh=00_Af25ixyC0pYtm0EybQZNrJtdRN-0RbbZtXCRAKcqurPc7A&amp;oe=69D8D373&amp;_nc_sid=0985b0</t>
  </si>
  <si>
    <t>voizaurademari</t>
  </si>
  <si>
    <t>Obrigada pela matéria, beijocas de Floripa!</t>
  </si>
  <si>
    <t>24/04/2019, 17:56:16</t>
  </si>
  <si>
    <t>https://www.instagram.com/voizaurademari</t>
  </si>
  <si>
    <t>https://instagram.fcgh5-1.fna.fbcdn.net/v/t51.2885-19/103571370_1414488935406081_3261486609947470384_n.jpg?stp=dst-jpg_s150x150_tt6&amp;efg=eyJ2ZW5jb2RlX3RhZyI6InByb2ZpbGVfcGljLmRqYW5nby44NTMuYzIifQ&amp;_nc_ht=instagram.fcgh5-1.fna.fbcdn.net&amp;_nc_cat=109&amp;_nc_oc=Q6cZ2gEkSAGF4V_Ng_4DAnUnMo9992ipDIi5yVjen58OoqSuy7MFrgfbyJfMgGCjcco10cl0w39aOHKah93gmIum7IbG&amp;_nc_ohc=Vc1g64QH7h4Q7kNvwFFm9KP&amp;_nc_gid=ql-yjqmTHBoXCQqB2CNmSA&amp;edm=AI-cjbYBAAAA&amp;ccb=7-5&amp;oh=00_Af3PIJ3fovBMIb1Xn5J9edoYECzk-WSVIYWrn8x7hKKzZA&amp;oe=69D8CBA9&amp;_nc_sid=0985b0</t>
  </si>
  <si>
    <t>Maravilhosa 💙</t>
  </si>
  <si>
    <t>24/04/2019, 19:42:43</t>
  </si>
  <si>
    <t>https://instagram.fcgh5-2.fna.fbcdn.net/v/t51.82787-19/651468904_18566148211037664_2424336977655174482_n.jpg?stp=dst-jpg_s150x150_tt6&amp;efg=eyJ2ZW5jb2RlX3RhZyI6InByb2ZpbGVfcGljLmRqYW5nby45NjAuYzIifQ&amp;_nc_ht=instagram.fcgh5-2.fna.fbcdn.net&amp;_nc_cat=100&amp;_nc_oc=Q6cZ2gEkSAGF4V_Ng_4DAnUnMo9992ipDIi5yVjen58OoqSuy7MFrgfbyJfMgGCjcco10cl0w39aOHKah93gmIum7IbG&amp;_nc_ohc=LmamY0IvEV0Q7kNvwF_FSce&amp;_nc_gid=ql-yjqmTHBoXCQqB2CNmSA&amp;edm=AI-cjbYBAAAA&amp;ccb=7-5&amp;oh=00_Af2wKPd6C3qQVjHg748m2kjo6HVE-qVDumP8-yzcm9sX7A&amp;oe=69D8C4A7&amp;_nc_sid=0985b0</t>
  </si>
  <si>
    <t>capixabasemportugal</t>
  </si>
  <si>
    <t>Hahaha que fofura!! ❤️</t>
  </si>
  <si>
    <t>24/04/2019, 22:18:30</t>
  </si>
  <si>
    <t>https://www.instagram.com/capixabasemportugal</t>
  </si>
  <si>
    <t>https://instagram.fcgh5-2.fna.fbcdn.net/v/t51.2885-19/261816930_619262586085506_4691705165272295178_n.jpg?stp=dst-jpg_s150x150_tt6&amp;efg=eyJ2ZW5jb2RlX3RhZyI6InByb2ZpbGVfcGljLmRqYW5nby4xMDgwLmMyIn0&amp;_nc_ht=instagram.fcgh5-2.fna.fbcdn.net&amp;_nc_cat=106&amp;_nc_oc=Q6cZ2gEkSAGF4V_Ng_4DAnUnMo9992ipDIi5yVjen58OoqSuy7MFrgfbyJfMgGCjcco10cl0w39aOHKah93gmIum7IbG&amp;_nc_ohc=JKIgf0ZqBPgQ7kNvwE5IYHu&amp;_nc_gid=ql-yjqmTHBoXCQqB2CNmSA&amp;edm=AI-cjbYBAAAA&amp;ccb=7-5&amp;oh=00_Af24ToffbxsGwaSFYn8HOSb54ehSsgJxZGn3copuP_td-A&amp;oe=69D8C205&amp;_nc_sid=0985b0</t>
  </si>
  <si>
    <t>sandramontivero64</t>
  </si>
  <si>
    <t>Que mona👏👏👏👌</t>
  </si>
  <si>
    <t>23/07/2019, 07:58:42</t>
  </si>
  <si>
    <t>https://www.instagram.com/sandramontivero64</t>
  </si>
  <si>
    <t>https://instagram.fcgh5-1.fna.fbcdn.net/v/t51.82787-19/626456008_18340521304239611_1874748727529465140_n.jpg?stp=dst-jpg_s150x150_tt6&amp;efg=eyJ2ZW5jb2RlX3RhZyI6InByb2ZpbGVfcGljLmRqYW5nby45NjAuYzIifQ&amp;_nc_ht=instagram.fcgh5-1.fna.fbcdn.net&amp;_nc_cat=111&amp;_nc_oc=Q6cZ2gEkSAGF4V_Ng_4DAnUnMo9992ipDIi5yVjen58OoqSuy7MFrgfbyJfMgGCjcco10cl0w39aOHKah93gmIum7IbG&amp;_nc_ohc=oRO9vZWDkVMQ7kNvwEenkDL&amp;_nc_gid=ql-yjqmTHBoXCQqB2CNmSA&amp;edm=AI-cjbYBAAAA&amp;ccb=7-5&amp;oh=00_Af1MTk12W4h2Qt8ZZ_JRVm-Sv4P7lcghltfzw9iX2sC12A&amp;oe=69D8C00D&amp;_nc_sid=0985b0</t>
  </si>
  <si>
    <t>malena.cast</t>
  </si>
  <si>
    <t>@gracebarnechea22</t>
  </si>
  <si>
    <t>27/04/2019, 16:13:59</t>
  </si>
  <si>
    <t>https://www.instagram.com/malena.cast</t>
  </si>
  <si>
    <t>https://instagram.fcgh5-2.fna.fbcdn.net/v/t51.2885-19/69877683_2677006715665026_7160483104098877440_n.jpg?stp=dst-jpg_s150x150_tt6&amp;efg=eyJ2ZW5jb2RlX3RhZyI6InByb2ZpbGVfcGljLmRqYW5nby4xMDgwLmMyIn0&amp;_nc_ht=instagram.fcgh5-2.fna.fbcdn.net&amp;_nc_cat=106&amp;_nc_oc=Q6cZ2gHKykhEdmTtjOoEpQitrDM8TCJvc5GEIShfx5lcUNkpLPw7-p2fdI9bZu_tk_y3Bl549x1Kgcu5OfDuIYwTuP9L&amp;_nc_ohc=qr7eI_uyNzQQ7kNvwGEteiu&amp;_nc_gid=TmIViYYemdxGAM7E7l-l-g&amp;edm=AI-cjbYBAAAA&amp;ccb=7-5&amp;oh=00_Af3COVfFVskKFEuNsEhoUf8D-6EpebKb2fQoB633WNyH-w&amp;oe=69D8AAC4&amp;_nc_sid=0985b0</t>
  </si>
  <si>
    <t>(((🐲)))</t>
  </si>
  <si>
    <t>19/07/2017, 04:45:21</t>
  </si>
  <si>
    <t>https://instagram.fcgh5-1.fna.fbcdn.net/v/t51.2885-19/503606071_18397634965136840_4686208178666916957_n.jpg?stp=dst-jpg_s150x150_tt6&amp;efg=eyJ2ZW5jb2RlX3RhZyI6InByb2ZpbGVfcGljLmRqYW5nby4xMDgwLmMyIn0&amp;_nc_ht=instagram.fcgh5-1.fna.fbcdn.net&amp;_nc_cat=108&amp;_nc_oc=Q6cZ2gFZKJdrnGetWkkAR6iKgN7Ag8tdl5fLVEowG5R0dd9Jp_MyFRN6O7ZeXTsUhnXmfSK9L1HR_nHbxZznTEqt5PxH&amp;_nc_ohc=ZgRGE46xpGgQ7kNvwHvv402&amp;_nc_gid=HD26EX4Z5hVSzR8pDW70NA&amp;edm=AI-cjbYBAAAA&amp;ccb=7-5&amp;oh=00_Af3efpI2jypXx7Wsk_yAUnXoJoSZKdSjDF0-maM_WjcibA&amp;oe=69D8DC5B&amp;_nc_sid=0985b0</t>
  </si>
  <si>
    <t>laisalbergariadesigner</t>
  </si>
  <si>
    <t>🙌🙌..</t>
  </si>
  <si>
    <t>19/07/2017, 07:27:34</t>
  </si>
  <si>
    <t>https://www.instagram.com/laisalbergariadesigner</t>
  </si>
  <si>
    <t>https://instagram.fcgh5-1.fna.fbcdn.net/v/t51.82787-19/617303984_18549477907012462_4981150094948386293_n.jpg?stp=dst-jpg_s150x150_tt6&amp;efg=eyJ2ZW5jb2RlX3RhZyI6InByb2ZpbGVfcGljLmRqYW5nby4xMDgwLmMyIn0&amp;_nc_ht=instagram.fcgh5-1.fna.fbcdn.net&amp;_nc_cat=110&amp;_nc_oc=Q6cZ2gHsWfyzupaU1K69Juqf7OeQvLkClxIcn3aw2hEHqEZNH69WRGyPq-VEtKf8_cFu73xvBU0CB9En_ZyV0MzfWW4V&amp;_nc_ohc=CwVvXHF5WogQ7kNvwFRYHSh&amp;_nc_gid=-CHAW9Ncut0j50rcZ0a5xQ&amp;edm=AI-cjbYBAAAA&amp;ccb=7-5&amp;oh=00_Af1-jOee8hNJWlsrgW0o1veITxmskpd0FsbjdoWhmvdE4Q&amp;oe=69D8CD86&amp;_nc_sid=0985b0</t>
  </si>
  <si>
    <t>gota.water</t>
  </si>
  <si>
    <t>😄</t>
  </si>
  <si>
    <t>22/07/2017, 02:10:12</t>
  </si>
  <si>
    <t>https://www.instagram.com/gota.water</t>
  </si>
  <si>
    <t>https://instagram.fcgh5-1.fna.fbcdn.net/v/t51.2885-19/280067225_380856284053930_3963785306154805127_n.jpg?stp=dst-jpg_s150x150_tt6&amp;efg=eyJ2ZW5jb2RlX3RhZyI6InByb2ZpbGVfcGljLmRqYW5nby45OTIuYzIifQ&amp;_nc_ht=instagram.fcgh5-1.fna.fbcdn.net&amp;_nc_cat=110&amp;_nc_oc=Q6cZ2gF5idT93Xm2SMy4wGQioXPiJf0rW33DFpzAjE4LSyUFTlJEqug96IFXxFPUGYz0QJGK7gZX8F0b7gPlY1Xx3QdX&amp;_nc_ohc=5nsEkn5pX-8Q7kNvwFHj34L&amp;_nc_gid=-KlcdCkOf5RYBlf6ciiLSA&amp;edm=AI-cjbYBAAAA&amp;ccb=7-5&amp;oh=00_Af1l1dfStGw2y_DAfd4LV3lipU2VcDLZx7eU4OCCySpxTA&amp;oe=69D8BF4C&amp;_nc_sid=0985b0</t>
  </si>
  <si>
    <t>29/07/2017, 00:28:26</t>
  </si>
  <si>
    <t>https://instagram.fnat1-1.fna.fbcdn.net/v/t51.2885-19/573323465_1219825463302212_7278921664109726296_n.png?stp=dst-webp&amp;efg=eyJ2ZW5jb2RlX3RhZyI6InByb2ZpbGVfcGljLmRqYW5nby4xNTAuYzIifQ&amp;_nc_ht=instagram.fnat1-1.fna.fbcdn.net&amp;_nc_cat=1&amp;_nc_oc=Q6cZ2gGiITxMoNCDAZyRcTrH0Vggtlc5Y-9UU9G8G396WeDSnpz4UtVcPhsx95IHAiqAEb1ocyqSzaPTFNOfofXHdXHT&amp;_nc_ohc=a8xHEXzvkAIQ7kNvwGyzYfw&amp;_nc_gid=MA8gzR4gyEAavn-57m7LJw&amp;edm=AJ9x6zYBAAAA&amp;ccb=7-5&amp;ig_cache_key=YW5vbnltb3VzX3Byb2ZpbGVfcGlj.3-ccb7-5&amp;oh=00_Af0KDB0pB0AnYlaFceFqspGbwjGTbaRG5Jw83kGWp5-q0A&amp;oe=69D8EAAA&amp;_nc_sid=65462d</t>
  </si>
  <si>
    <t>29/07/2017, 17:36:21</t>
  </si>
  <si>
    <t>https://instagram.fcgh5-1.fna.fbcdn.net/v/t51.2885-19/21980466_118319278846509_8123757248259293184_n.jpg?stp=dst-jpg_s150x150_tt6&amp;efg=eyJ2ZW5jb2RlX3RhZyI6InByb2ZpbGVfcGljLmRqYW5nby40MTEuYzIifQ&amp;_nc_ht=instagram.fcgh5-1.fna.fbcdn.net&amp;_nc_cat=109&amp;_nc_oc=Q6cZ2gHS2Lu34__lGMlT6l_hVRMrLqWnezT41f-l631HvC1SFu77A3xuJKUDdemFki32F01IIMwfWr-ucEfvrxzhkMo8&amp;_nc_ohc=Z_q_V_Yvth0Q7kNvwGHeCC3&amp;_nc_gid=fvrgfDbdSmYSijfeT_Wn1g&amp;edm=AI-cjbYBAAAA&amp;ccb=7-5&amp;oh=00_Af1gJ5fwmed8oDu5JGaYB4o_HRc_DGrfQpPARqGim5ul4A&amp;oe=69D8F29C&amp;_nc_sid=0985b0</t>
  </si>
  <si>
    <t>zoomvacations</t>
  </si>
  <si>
    <t>Love this shots :) 👌</t>
  </si>
  <si>
    <t>09/08/2017, 09:55:28</t>
  </si>
  <si>
    <t>https://www.instagram.com/zoomvacations</t>
  </si>
  <si>
    <t>https://instagram.fcgh5-2.fna.fbcdn.net/v/t51.2885-19/11934872_504469716401844_654159989_a.jpg?stp=dst-jpg_s150x150_tt6&amp;efg=eyJ2ZW5jb2RlX3RhZyI6InByb2ZpbGVfcGljLmRqYW5nby4yNzIuYzIifQ&amp;_nc_ht=instagram.fcgh5-2.fna.fbcdn.net&amp;_nc_cat=100&amp;_nc_oc=Q6cZ2gFBWiyl-Q48IdM-Ya5kTKOAQ8VlU_LNE6kjQN9shCs-rf6JFH-h7qn2i_vuVuMJQdsqD-Kq_0oxjQpoUc1JR8lh&amp;_nc_ohc=LDrjRAGz1QoQ7kNvwEBQEyV&amp;_nc_gid=_DW4OCEe_OVwcMmdtkV00A&amp;edm=AI-cjbYBAAAA&amp;ccb=7-5&amp;oh=00_Af3Ut92jNNbnJtBW5p1mt8aGGtn7WdDTlceCCEHdQ-37pQ&amp;oe=69D8EB4B&amp;_nc_sid=0985b0</t>
  </si>
  <si>
    <t>adi_chugh</t>
  </si>
  <si>
    <t>Great Feed</t>
  </si>
  <si>
    <t>01/08/2017, 04:38:38</t>
  </si>
  <si>
    <t>https://www.instagram.com/adi_chugh</t>
  </si>
  <si>
    <t>https://instagram.fcgh5-1.fna.fbcdn.net/v/t51.2885-19/71192933_953498005009618_6195656419455270912_n.jpg?stp=dst-jpg_s150x150_tt6&amp;efg=eyJ2ZW5jb2RlX3RhZyI6InByb2ZpbGVfcGljLmRqYW5nby42MzMuYzIifQ&amp;_nc_ht=instagram.fcgh5-1.fna.fbcdn.net&amp;_nc_cat=110&amp;_nc_oc=Q6cZ2gHwUrfaWMhSD4GphWVi0g1HMKPnNUY1PYln8qGvhnywDoEjHhXN8ph1LE4F3yu6Vj_whC1iZgu8gYXtO9YGLHL4&amp;_nc_ohc=IzV37Sd-PN8Q7kNvwExsqe6&amp;_nc_gid=bc8fyoJals9NtGU4EhlrZQ&amp;edm=AI-cjbYBAAAA&amp;ccb=7-5&amp;oh=00_Af01U3HVmVV4pDsMy71sV6ZqJ_DXVPC3SK21yQnxPfrd2g&amp;oe=69D8BE73&amp;_nc_sid=0985b0</t>
  </si>
  <si>
    <t>larissa_pio</t>
  </si>
  <si>
    <t>🙌....</t>
  </si>
  <si>
    <t>02/08/2017, 12:17:09</t>
  </si>
  <si>
    <t>https://www.instagram.com/larissa_pio</t>
  </si>
  <si>
    <t>https://instagram.fcgh5-1.fna.fbcdn.net/v/t51.2885-19/503333883_18506310001024208_8182639114571504776_n.jpg?stp=dst-jpg_s150x150_tt6&amp;efg=eyJ2ZW5jb2RlX3RhZyI6InByb2ZpbGVfcGljLmRqYW5nby40NzkuYzIifQ&amp;_nc_ht=instagram.fcgh5-1.fna.fbcdn.net&amp;_nc_cat=108&amp;_nc_oc=Q6cZ2gFfXlVa_VcXP4JdFU3vEi0fmSHS2olKE49PMlNVoXM37sI9h8S6tx00EguPny2V7W0hcyeF660_xiYndxJ403Jh&amp;_nc_ohc=p_C3MaWE9eUQ7kNvwF7nXfC&amp;_nc_gid=AUgqi87D4XdN0goXt6lF4w&amp;edm=AI-cjbYBAAAA&amp;ccb=7-5&amp;oh=00_Af0-_M33FJltAZSzmQY4WHbXTccEdQyHqaLHawW3PVXUXw&amp;oe=69D8E799&amp;_nc_sid=0985b0</t>
  </si>
  <si>
    <t>brasilboliche_df</t>
  </si>
  <si>
    <t>06/08/2017, 20:38:20</t>
  </si>
  <si>
    <t>https://www.instagram.com/brasilboliche_df</t>
  </si>
  <si>
    <t>https://instagram.fcgh5-1.fna.fbcdn.net/v/t51.2885-19/271326459_430947265435523_3384201599422098556_n.jpg?stp=dst-jpg_s150x150_tt6&amp;efg=eyJ2ZW5jb2RlX3RhZyI6InByb2ZpbGVfcGljLmRqYW5nby4xMDgwLmMyIn0&amp;_nc_ht=instagram.fcgh5-1.fna.fbcdn.net&amp;_nc_cat=111&amp;_nc_oc=Q6cZ2gHvcNdfdCZjoQDhnVcUQl81YpTLiHJblVQEnCgG857uMg90-8sWJ_vVoxE9yB6IERwaUIe3jkUxqnc1SYVX8d7h&amp;_nc_ohc=8T6Pde7A_dEQ7kNvwE-og6S&amp;_nc_gid=3SurUgVlbaf9y5d3VAiJHw&amp;edm=AI-cjbYBAAAA&amp;ccb=7-5&amp;oh=00_Af2rwgexPat1--Yw-Wp3e9SgQ5r12wI6S-CcojqQU9cHeQ&amp;oe=69D8EBCA&amp;_nc_sid=0985b0</t>
  </si>
  <si>
    <t>https://instagram.fcgh5-1.fna.fbcdn.net/v/t51.2885-19/271326459_430947265435523_3384201599422098556_n.jpg?stp=dst-jpg_s150x150_tt6&amp;efg=eyJ2ZW5jb2RlX3RhZyI6InByb2ZpbGVfcGljLmRqYW5nby4xMDgwLmMyIn0&amp;_nc_ht=instagram.fcgh5-1.fna.fbcdn.net&amp;_nc_cat=111&amp;_nc_oc=Q6cZ2gE3c_Aq27_z27H5AEZQ_i-7UuNVqjSgOwUHWR_BnN_6K3JJpGiQl73vU4KWBCcaKsBbqAxylZ7GzD3FLjcuzBus&amp;_nc_ohc=8T6Pde7A_dEQ7kNvwE-og6S&amp;_nc_gid=YLfTPrXL8t4IhitadbaUSw&amp;edm=AI-cjbYBAAAA&amp;ccb=7-5&amp;oh=00_Af3n1lvDNHCgAMz3r7MZ0ATJFFrpfJsIKdhOgOx4E2zAdQ&amp;oe=69D8EBCA&amp;_nc_sid=0985b0</t>
  </si>
  <si>
    <t>mrvall8</t>
  </si>
  <si>
    <t>19/05/2019, 13:35:30</t>
  </si>
  <si>
    <t>https://www.instagram.com/mrvall8</t>
  </si>
  <si>
    <t>https://instagram.fcgh5-1.fna.fbcdn.net/v/t51.82787-19/658837655_18266621866289192_7187717726851147145_n.jpg?stp=dst-jpg_s150x150_tt6&amp;efg=eyJ2ZW5jb2RlX3RhZyI6InByb2ZpbGVfcGljLmRqYW5nby4xMDgwLmMyIn0&amp;_nc_ht=instagram.fcgh5-1.fna.fbcdn.net&amp;_nc_cat=108&amp;_nc_oc=Q6cZ2gHtpFQ0ZM3RNva8q0PCrRAjk0lBA2N_egDlNpEQ5HP4piq1upiOKTQVjatk5x02L_iDty_qghhf0KwvIG-jgJV5&amp;_nc_ohc=kJv8QkFwH5MQ7kNvwEcevEf&amp;_nc_gid=WO8VqVUuKFsUoWuLc2_Cqg&amp;edm=AI-cjbYBAAAA&amp;ccb=7-5&amp;oh=00_Af3qHO1f-n2oJqTulFnL74dOoFQTRwfQujHKmAN1uYDTiA&amp;oe=69D8D83F&amp;_nc_sid=0985b0</t>
  </si>
  <si>
    <t>jonnybsilly</t>
  </si>
  <si>
    <t>04/09/2017, 22:06:03</t>
  </si>
  <si>
    <t>https://www.instagram.com/jonnybsilly</t>
  </si>
  <si>
    <t>https://instagram.fcgh5-2.fna.fbcdn.net/v/t51.2885-19/413954855_390291453391020_5384708278672250520_n.jpg?stp=dst-jpg_s150x150_tt6&amp;efg=eyJ2ZW5jb2RlX3RhZyI6InByb2ZpbGVfcGljLmRqYW5nby45NjAuYzIifQ&amp;_nc_ht=instagram.fcgh5-2.fna.fbcdn.net&amp;_nc_cat=100&amp;_nc_oc=Q6cZ2gEFcW4Rgg3c3KX883i101XurN2T0CbMt6Am3dhT-y66MzAy8aTHn4byiG4hy3m0ITT84OZAWkdzTrcohaszs_rp&amp;_nc_ohc=4K6t6i57KsUQ7kNvwF49Vop&amp;_nc_gid=TlGdrq-nkJB2wt4ReLnYNw&amp;edm=AI-cjbYBAAAA&amp;ccb=7-5&amp;oh=00_Af1QypNCS5wVgtvgqzVcYatimOvLABJl4hex_GlcUhZ6Vw&amp;oe=69D8CF28&amp;_nc_sid=0985b0</t>
  </si>
  <si>
    <t>viralpassport</t>
  </si>
  <si>
    <t>👏👏👏!</t>
  </si>
  <si>
    <t>10/09/2017, 17:36:36</t>
  </si>
  <si>
    <t>https://www.instagram.com/viralpassport</t>
  </si>
  <si>
    <t>https://instagram.fcgh5-2.fna.fbcdn.net/v/t51.2885-19/220909424_150771470492820_2559002453868446209_n.jpg?stp=dst-jpg_s150x150_tt6&amp;efg=eyJ2ZW5jb2RlX3RhZyI6InByb2ZpbGVfcGljLmRqYW5nby4xMDgwLmMyIn0&amp;_nc_ht=instagram.fcgh5-2.fna.fbcdn.net&amp;_nc_cat=100&amp;_nc_oc=Q6cZ2gHg7vrbYRY4_UuEG240CGq_KO4vVGy1oMV-TMev23koIZ5LXq4CVqFbcgpTd1P2lvjSrNWIIfbrS7XgFnG9jfqu&amp;_nc_ohc=W8e35MVa998Q7kNvwHJuH-9&amp;_nc_gid=CebCTh0aAoZpIDlRcWPRNw&amp;edm=AI-cjbYBAAAA&amp;ccb=7-5&amp;oh=00_Af1Pc28ITqzNt6TkrbXVjX3se9YCm0IpxoZXTTkja136uQ&amp;oe=69D8F091&amp;_nc_sid=0985b0</t>
  </si>
  <si>
    <t>egberto.lima.58</t>
  </si>
  <si>
    <t>Lindo, profundo e inclusivo!Simplesmente Amor!</t>
  </si>
  <si>
    <t>13/06/2019, 10:04:56</t>
  </si>
  <si>
    <t>https://www.instagram.com/egberto.lima.58</t>
  </si>
  <si>
    <t>https://instagram.fcgh5-1.fna.fbcdn.net/v/t51.2885-19/46117954_2246463615386855_3469941375934398464_n.jpg?stp=dst-jpg_s150x150_tt6&amp;efg=eyJ2ZW5jb2RlX3RhZyI6InByb2ZpbGVfcGljLmRqYW5nby4zMDAuYzIifQ&amp;_nc_ht=instagram.fcgh5-1.fna.fbcdn.net&amp;_nc_cat=111&amp;_nc_oc=Q6cZ2gHw348j-VgFnJkAqls9c7q_7rjLbYp7BCFp_DTiEpPZmUGcwErAVjjVv0Zk6IfLTcCOkZcPhLPcjiqTycQ2hntf&amp;_nc_ohc=S4nlOub5p0sQ7kNvwEoxIX1&amp;_nc_gid=inAjQ4RU0YtLgGk4joNadw&amp;edm=AI-cjbYBAAAA&amp;ccb=7-5&amp;oh=00_Af04zHeR2PuqIpc4VrmJ9HWPUooqMwkcJkwJA84Ed58iaA&amp;oe=69D8A47C&amp;_nc_sid=0985b0</t>
  </si>
  <si>
    <t>Bora tomar quentão !</t>
  </si>
  <si>
    <t>13/06/2019, 10:05:29</t>
  </si>
  <si>
    <t>https://instagram.fcgh5-1.fna.fbcdn.net/v/t51.2885-19/46117954_2246463615386855_3469941375934398464_n.jpg?stp=dst-jpg_s150x150_tt6&amp;efg=eyJ2ZW5jb2RlX3RhZyI6InByb2ZpbGVfcGljLmRqYW5nby4zMDAuYzIifQ&amp;_nc_ht=instagram.fcgh5-1.fna.fbcdn.net&amp;_nc_cat=111&amp;_nc_oc=Q6cZ2gE4C0G-TJrsB2WOHSS9jP56wxT3pCfRG2DOoxZs6Ac7iXSpg10xWq3eXESLg4KyyJM9FFWKugfPSdIPEslvTGvE&amp;_nc_ohc=S4nlOub5p0sQ7kNvwEoxIX1&amp;_nc_gid=QL3pHXZpfPBM5gz6OtZEag&amp;edm=AI-cjbYBAAAA&amp;ccb=7-5&amp;oh=00_Af2-pGvkw-dnr6gJIfx4v_rbim3-I2lPo6RIYJ_tvPK71A&amp;oe=69D8A47C&amp;_nc_sid=0985b0</t>
  </si>
  <si>
    <t>patagoniachopper</t>
  </si>
  <si>
    <t>🔝!!</t>
  </si>
  <si>
    <t>09/09/2017, 09:22:45</t>
  </si>
  <si>
    <t>https://www.instagram.com/patagoniachopper</t>
  </si>
  <si>
    <t>https://instagram.fcgh5-2.fna.fbcdn.net/v/t51.2885-19/21149731_466553383727092_3690036687255109632_a.jpg?stp=dst-jpg_s150x150_tt6&amp;efg=eyJ2ZW5jb2RlX3RhZyI6InByb2ZpbGVfcGljLmRqYW5nby4xMDgwLmMyIn0&amp;_nc_ht=instagram.fcgh5-2.fna.fbcdn.net&amp;_nc_cat=104&amp;_nc_oc=Q6cZ2gEKpSUQG5UCJa0KDBe6K1tnsnM5YjiPbb2dOSpZC-DOIcEx-ZFm_u7gZz2RDSR0k1XOyPJOAmcWwKFM5zmtnx31&amp;_nc_ohc=saH9JR0cnpsQ7kNvwEfAglK&amp;_nc_gid=XqxpdR_gWckO8yqc7j50qA&amp;edm=AI-cjbYBAAAA&amp;ccb=7-5&amp;oh=00_Af2__9BlDDOjPFyD5hlrj3msvYqQbHjd4ZDAt6XLvEGBfw&amp;oe=69D8D43A&amp;_nc_sid=0985b0</t>
  </si>
  <si>
    <t>https://instagram.fcgh5-2.fna.fbcdn.net/v/t51.2885-19/21149731_466553383727092_3690036687255109632_a.jpg?stp=dst-jpg_s150x150_tt6&amp;efg=eyJ2ZW5jb2RlX3RhZyI6InByb2ZpbGVfcGljLmRqYW5nby4xMDgwLmMyIn0&amp;_nc_ht=instagram.fcgh5-2.fna.fbcdn.net&amp;_nc_cat=104&amp;_nc_oc=Q6cZ2gE7g3GJTwTCGGE01nCcBdW7jlLQYN3233Vpjf8N8Kyrn-0bKCK1ZXTsleLIzFM4_CIairOHcgVtLT0PPXeVphfH&amp;_nc_ohc=saH9JR0cnpsQ7kNvwEfAglK&amp;_nc_gid=XUMQiGXcVfz9-0Xu_o3LkA&amp;edm=AI-cjbYBAAAA&amp;ccb=7-5&amp;oh=00_Af1gLwNXka7EPXKs3CunG_siGXvkN63zqr8g71hJxHONyA&amp;oe=69D8D43A&amp;_nc_sid=0985b0</t>
  </si>
  <si>
    <t>https://instagram.fcgh5-2.fna.fbcdn.net/v/t51.2885-19/21149731_466553383727092_3690036687255109632_a.jpg?stp=dst-jpg_s150x150_tt6&amp;efg=eyJ2ZW5jb2RlX3RhZyI6InByb2ZpbGVfcGljLmRqYW5nby4xMDgwLmMyIn0&amp;_nc_ht=instagram.fcgh5-2.fna.fbcdn.net&amp;_nc_cat=104&amp;_nc_oc=Q6cZ2gF8YlTQVqXvDYUYY4dJEK8buf1QdfUW-EujbXI8OOJ1AHNUE7xzr6zD6qf87BqDYKfVlAOwPLDhgVzbM23dJD_R&amp;_nc_ohc=saH9JR0cnpsQ7kNvwEfAglK&amp;_nc_gid=ptUkTh7s9VkoFWXg4QUcyQ&amp;edm=AI-cjbYBAAAA&amp;ccb=7-5&amp;oh=00_Af2t5PQo-Fb5frd8KdJSbJSDq5BQr34S7z13RzgR8VFUcA&amp;oe=69D8D43A&amp;_nc_sid=0985b0</t>
  </si>
  <si>
    <t>https://instagram.fcgh5-2.fna.fbcdn.net/v/t51.2885-19/21149731_466553383727092_3690036687255109632_a.jpg?stp=dst-jpg_s150x150_tt6&amp;efg=eyJ2ZW5jb2RlX3RhZyI6InByb2ZpbGVfcGljLmRqYW5nby4xMDgwLmMyIn0&amp;_nc_ht=instagram.fcgh5-2.fna.fbcdn.net&amp;_nc_cat=104&amp;_nc_oc=Q6cZ2gGrPC8Yxwb3EYXpvG_7gHwm5-nqABhDIAdRxnJqXcMw2TN_fVq6X9MFl2mTjBrKWKD942lNBQizgHFizDeRzGkR&amp;_nc_ohc=saH9JR0cnpsQ7kNvwEfAglK&amp;_nc_gid=n_YXW5qXwueALY-8G3WxVA&amp;edm=AI-cjbYBAAAA&amp;ccb=7-5&amp;oh=00_Af1rygrGB_qwVETxlFvvsBZOXxHpRo2lm_hEJGffKvU5qw&amp;oe=69D8D43A&amp;_nc_sid=0985b0</t>
  </si>
  <si>
    <t>ykdpolaris</t>
  </si>
  <si>
    <t>Great shot!</t>
  </si>
  <si>
    <t>28/08/2017, 19:57:51</t>
  </si>
  <si>
    <t>https://www.instagram.com/ykdpolaris</t>
  </si>
  <si>
    <t>https://instagram.fcgh5-2.fna.fbcdn.net/v/t51.2885-19/474368122_2008114673030052_8126297973306531367_n.jpg?stp=dst-jpg_s150x150_tt6&amp;efg=eyJ2ZW5jb2RlX3RhZyI6InByb2ZpbGVfcGljLmRqYW5nby4xMDgwLmMyIn0&amp;_nc_ht=instagram.fcgh5-2.fna.fbcdn.net&amp;_nc_cat=100&amp;_nc_oc=Q6cZ2gF7WIhVNe3cuDVIweSe6XM8jwI3q5i9BGuveYK_Xe2lWgMhotAv4Y48yAU6l1_lQDy7-QUSd__3uyvBrqkLiG5k&amp;_nc_ohc=_oHeAsaOI9MQ7kNvwGx3AM_&amp;_nc_gid=DKmyRwu751eyqrqQ3MIBjQ&amp;edm=AI-cjbYBAAAA&amp;ccb=7-5&amp;oh=00_Af2m9TdunyABvAJBnSftKytuTiOeWU54VpFfN24ND57Rnw&amp;oe=69D8C9B0&amp;_nc_sid=0985b0</t>
  </si>
  <si>
    <t>lemoney_coupons</t>
  </si>
  <si>
    <t>Take a look at our instagram for great coupons.</t>
  </si>
  <si>
    <t>28/08/2017, 20:45:01</t>
  </si>
  <si>
    <t>https://www.instagram.com/lemoney_coupons</t>
  </si>
  <si>
    <t>https://instagram.fcgh5-2.fna.fbcdn.net/v/t51.2885-19/28766349_156753478342201_476807817295036416_n.jpg?stp=dst-jpg_s150x150_tt6&amp;efg=eyJ2ZW5jb2RlX3RhZyI6InByb2ZpbGVfcGljLmRqYW5nby42NzMuYzIifQ&amp;_nc_ht=instagram.fcgh5-2.fna.fbcdn.net&amp;_nc_cat=101&amp;_nc_oc=Q6cZ2gF7WIhVNe3cuDVIweSe6XM8jwI3q5i9BGuveYK_Xe2lWgMhotAv4Y48yAU6l1_lQDy7-QUSd__3uyvBrqkLiG5k&amp;_nc_ohc=nMbzvmHPyXYQ7kNvwGv8FcM&amp;_nc_gid=DKmyRwu751eyqrqQ3MIBjQ&amp;edm=AI-cjbYBAAAA&amp;ccb=7-5&amp;oh=00_Af0bprFaZh1oihATDfFyRYf_mJBNZnjWzUUv9f8e98lsRQ&amp;oe=69D8D198&amp;_nc_sid=0985b0</t>
  </si>
  <si>
    <t>cuidareblumenau</t>
  </si>
  <si>
    <t>👍😀.</t>
  </si>
  <si>
    <t>31/08/2017, 09:03:41</t>
  </si>
  <si>
    <t>https://www.instagram.com/cuidareblumenau</t>
  </si>
  <si>
    <t>https://instagram.fcgh5-1.fna.fbcdn.net/v/t51.2885-19/65314609_649935812147207_4715020255804522496_n.jpg?stp=dst-jpg_s150x150_tt6&amp;efg=eyJ2ZW5jb2RlX3RhZyI6InByb2ZpbGVfcGljLmRqYW5nby41NTAuYzIifQ&amp;_nc_ht=instagram.fcgh5-1.fna.fbcdn.net&amp;_nc_cat=111&amp;_nc_oc=Q6cZ2gF7WIhVNe3cuDVIweSe6XM8jwI3q5i9BGuveYK_Xe2lWgMhotAv4Y48yAU6l1_lQDy7-QUSd__3uyvBrqkLiG5k&amp;_nc_ohc=LCY5Tnrw5UUQ7kNvwFCwoSG&amp;_nc_gid=DKmyRwu751eyqrqQ3MIBjQ&amp;edm=AI-cjbYBAAAA&amp;ccb=7-5&amp;oh=00_Af1vNJAQYyg-AR4iMN3c-TMpySMXBuPpULLpAfMmAu-giA&amp;oe=69D8D44D&amp;_nc_sid=0985b0</t>
  </si>
  <si>
    <t>https://instagram.fcgh5-2.fna.fbcdn.net/v/t51.2885-19/474368122_2008114673030052_8126297973306531367_n.jpg?stp=dst-jpg_s150x150_tt6&amp;efg=eyJ2ZW5jb2RlX3RhZyI6InByb2ZpbGVfcGljLmRqYW5nby4xMDgwLmMyIn0&amp;_nc_ht=instagram.fcgh5-2.fna.fbcdn.net&amp;_nc_cat=100&amp;_nc_oc=Q6cZ2gEHoto6RTe8LtRqIvEuCqIpTUES5n6_jcft-o85eINGnETMZm3ASeeRZHvF6DqcZM_xBfM87qZ7Q2ey_B_uDDZm&amp;_nc_ohc=_oHeAsaOI9MQ7kNvwGx3AM_&amp;_nc_gid=re5GaNlBgg_lx1uKM0P9MA&amp;edm=AI-cjbYBAAAA&amp;ccb=7-5&amp;oh=00_Af3xe1D3hpkEXpA0SovKmahHcu7t_LwKDXVT53F6S9r-lQ&amp;oe=69D8C9B0&amp;_nc_sid=0985b0</t>
  </si>
  <si>
    <t>https://instagram.fcgh5-2.fna.fbcdn.net/v/t51.2885-19/28766349_156753478342201_476807817295036416_n.jpg?stp=dst-jpg_s150x150_tt6&amp;efg=eyJ2ZW5jb2RlX3RhZyI6InByb2ZpbGVfcGljLmRqYW5nby42NzMuYzIifQ&amp;_nc_ht=instagram.fcgh5-2.fna.fbcdn.net&amp;_nc_cat=101&amp;_nc_oc=Q6cZ2gEHoto6RTe8LtRqIvEuCqIpTUES5n6_jcft-o85eINGnETMZm3ASeeRZHvF6DqcZM_xBfM87qZ7Q2ey_B_uDDZm&amp;_nc_ohc=nMbzvmHPyXYQ7kNvwGv8FcM&amp;_nc_gid=re5GaNlBgg_lx1uKM0P9MA&amp;edm=AI-cjbYBAAAA&amp;ccb=7-5&amp;oh=00_Af0bIlh-M_DImD9UeQ7aIpujjR6yZxThwUDHD3gHwJisHw&amp;oe=69D8D198&amp;_nc_sid=0985b0</t>
  </si>
  <si>
    <t>https://instagram.fcgh5-1.fna.fbcdn.net/v/t51.2885-19/65314609_649935812147207_4715020255804522496_n.jpg?stp=dst-jpg_s150x150_tt6&amp;efg=eyJ2ZW5jb2RlX3RhZyI6InByb2ZpbGVfcGljLmRqYW5nby41NTAuYzIifQ&amp;_nc_ht=instagram.fcgh5-1.fna.fbcdn.net&amp;_nc_cat=111&amp;_nc_oc=Q6cZ2gEHoto6RTe8LtRqIvEuCqIpTUES5n6_jcft-o85eINGnETMZm3ASeeRZHvF6DqcZM_xBfM87qZ7Q2ey_B_uDDZm&amp;_nc_ohc=LCY5Tnrw5UUQ7kNvwFCwoSG&amp;_nc_gid=re5GaNlBgg_lx1uKM0P9MA&amp;edm=AI-cjbYBAAAA&amp;ccb=7-5&amp;oh=00_Af1WKLQshJckX12AlQg5PKMac9Lhr23BKyaAweSjIph7dw&amp;oe=69D8D44D&amp;_nc_sid=0985b0</t>
  </si>
  <si>
    <t>allexmoutinho</t>
  </si>
  <si>
    <t>21/06/2019, 17:40:37</t>
  </si>
  <si>
    <t>https://www.instagram.com/allexmoutinho</t>
  </si>
  <si>
    <t>https://instagram.fcgh5-1.fna.fbcdn.net/v/t51.2885-19/372515268_1235845173765884_4915901980237161976_n.jpg?stp=dst-jpg_s150x150_tt6&amp;efg=eyJ2ZW5jb2RlX3RhZyI6InByb2ZpbGVfcGljLmRqYW5nby4xMDgwLmMyIn0&amp;_nc_ht=instagram.fcgh5-1.fna.fbcdn.net&amp;_nc_cat=108&amp;_nc_oc=Q6cZ2gEg3_4SjCu-bKVgkzVZCL27hjHSai-fFtXcJshttk28h3MZRucI7fDmvzeULPKqXlmNvseQEjmx-fhJawTeMkSG&amp;_nc_ohc=i92e5dZkOk8Q7kNvwHkmpas&amp;_nc_gid=lg54aU5wuIJPcTDkde1C-Q&amp;edm=AI-cjbYBAAAA&amp;ccb=7-5&amp;oh=00_Af21iy734L6EzqJkKkSUroWZSTkrda19e6qFZdfct5UhcQ&amp;oe=69D8B471&amp;_nc_sid=0985b0</t>
  </si>
  <si>
    <t>couchly.me</t>
  </si>
  <si>
    <t>great acc!</t>
  </si>
  <si>
    <t>15/09/2017, 21:36:20</t>
  </si>
  <si>
    <t>https://www.instagram.com/couchly.me</t>
  </si>
  <si>
    <t>https://instagram.fcgh5-2.fna.fbcdn.net/v/t51.2885-19/16908868_1252803591439732_4321506659131195392_a.jpg?stp=dst-jpg_s150x150_tt6&amp;efg=eyJ2ZW5jb2RlX3RhZyI6InByb2ZpbGVfcGljLmRqYW5nby41MzAuYzIifQ&amp;_nc_ht=instagram.fcgh5-2.fna.fbcdn.net&amp;_nc_cat=104&amp;_nc_oc=Q6cZ2gEz5DoScMLUJ8OGCa9N60P716g4kRVADwBtsfCAdTDrt5flGAYORNNn7eMWlTqerq7h0YCyDoWtu3U-EB5T2XGV&amp;_nc_ohc=tmBmz9I53YcQ7kNvwEU28QU&amp;_nc_gid=gtT1LggDD50I04UDpS7gmg&amp;edm=AI-cjbYBAAAA&amp;ccb=7-5&amp;oh=00_Af3Ci5eonA4tQ6LzfbEK0LZTCjt4_B2QNbKsbnOQPks8xQ&amp;oe=69D8E30E&amp;_nc_sid=0985b0</t>
  </si>
  <si>
    <t>16/09/2017, 12:54:45</t>
  </si>
  <si>
    <t>https://instagram.fcgh5-2.fna.fbcdn.net/v/t51.2885-19/361795470_3143304702642867_5188040235207980404_n.jpg?stp=dst-jpg_s150x150_tt6&amp;efg=eyJ2ZW5jb2RlX3RhZyI6InByb2ZpbGVfcGljLmRqYW5nby4xMDgwLmMyIn0&amp;_nc_ht=instagram.fcgh5-2.fna.fbcdn.net&amp;_nc_cat=103&amp;_nc_oc=Q6cZ2gEz5DoScMLUJ8OGCa9N60P716g4kRVADwBtsfCAdTDrt5flGAYORNNn7eMWlTqerq7h0YCyDoWtu3U-EB5T2XGV&amp;_nc_ohc=KaHnrcZNIe0Q7kNvwF1XIMy&amp;_nc_gid=gtT1LggDD50I04UDpS7gmg&amp;edm=AI-cjbYBAAAA&amp;ccb=7-5&amp;oh=00_Af1kRKrMkkml_urZQFdZU5OlzLOOeZIVn-4_gXRelAzIgA&amp;oe=69D8E3A2&amp;_nc_sid=0985b0</t>
  </si>
  <si>
    <t>adventuretravels</t>
  </si>
  <si>
    <t>Keep on traveling 👍 @adventuretravels</t>
  </si>
  <si>
    <t>18/09/2017, 05:07:05</t>
  </si>
  <si>
    <t>https://www.instagram.com/adventuretravels</t>
  </si>
  <si>
    <t>https://instagram.fcgh5-2.fna.fbcdn.net/v/t51.2885-19/57618488_2174926932543159_4520060269921042432_n.jpg?stp=dst-jpg_s150x150_tt6&amp;efg=eyJ2ZW5jb2RlX3RhZyI6InByb2ZpbGVfcGljLmRqYW5nby44MDYuYzIifQ&amp;_nc_ht=instagram.fcgh5-2.fna.fbcdn.net&amp;_nc_cat=103&amp;_nc_oc=Q6cZ2gEz5DoScMLUJ8OGCa9N60P716g4kRVADwBtsfCAdTDrt5flGAYORNNn7eMWlTqerq7h0YCyDoWtu3U-EB5T2XGV&amp;_nc_ohc=g8c4VMcQYaAQ7kNvwGoL8lR&amp;_nc_gid=gtT1LggDD50I04UDpS7gmg&amp;edm=AI-cjbYBAAAA&amp;ccb=7-5&amp;oh=00_Af1euQMVeLqj-vVMk0V3rbjoiC-SU2fgqeo1UL_VHPKuTw&amp;oe=69D8CA5C&amp;_nc_sid=0985b0</t>
  </si>
  <si>
    <t>https://instagram.fcgh5-2.fna.fbcdn.net/v/t51.2885-19/16908868_1252803591439732_4321506659131195392_a.jpg?stp=dst-jpg_s150x150_tt6&amp;efg=eyJ2ZW5jb2RlX3RhZyI6InByb2ZpbGVfcGljLmRqYW5nby41MzAuYzIifQ&amp;_nc_ht=instagram.fcgh5-2.fna.fbcdn.net&amp;_nc_cat=104&amp;_nc_oc=Q6cZ2gFtpYURb_DpsFybsIdJ9CXZNdf1RQ77J36eDFI6PS6sf0YrS2wWuiKBQQDAqP_gzSPKEAL_wjwPh9TouDmUL4ky&amp;_nc_ohc=tmBmz9I53YcQ7kNvwEU28QU&amp;_nc_gid=qTgsIL9vEalCowhNT76z1Q&amp;edm=AI-cjbYBAAAA&amp;ccb=7-5&amp;oh=00_Af2jpt6r2oJ1I1-1hX8wEeTNpL3iRG7TzEZoXCnzFi1xfw&amp;oe=69D8E30E&amp;_nc_sid=0985b0</t>
  </si>
  <si>
    <t>https://instagram.fcgh5-2.fna.fbcdn.net/v/t51.2885-19/361795470_3143304702642867_5188040235207980404_n.jpg?stp=dst-jpg_s150x150_tt6&amp;efg=eyJ2ZW5jb2RlX3RhZyI6InByb2ZpbGVfcGljLmRqYW5nby4xMDgwLmMyIn0&amp;_nc_ht=instagram.fcgh5-2.fna.fbcdn.net&amp;_nc_cat=103&amp;_nc_oc=Q6cZ2gFtpYURb_DpsFybsIdJ9CXZNdf1RQ77J36eDFI6PS6sf0YrS2wWuiKBQQDAqP_gzSPKEAL_wjwPh9TouDmUL4ky&amp;_nc_ohc=KaHnrcZNIe0Q7kNvwF1XIMy&amp;_nc_gid=qTgsIL9vEalCowhNT76z1Q&amp;edm=AI-cjbYBAAAA&amp;ccb=7-5&amp;oh=00_Af16fL8tzxOYOYVDFn8DMEpCMfaFQlENNhiWQpP_GKJ3Ag&amp;oe=69D8E3A2&amp;_nc_sid=0985b0</t>
  </si>
  <si>
    <t>https://instagram.fcgh5-2.fna.fbcdn.net/v/t51.2885-19/57618488_2174926932543159_4520060269921042432_n.jpg?stp=dst-jpg_s150x150_tt6&amp;efg=eyJ2ZW5jb2RlX3RhZyI6InByb2ZpbGVfcGljLmRqYW5nby44MDYuYzIifQ&amp;_nc_ht=instagram.fcgh5-2.fna.fbcdn.net&amp;_nc_cat=103&amp;_nc_oc=Q6cZ2gFtpYURb_DpsFybsIdJ9CXZNdf1RQ77J36eDFI6PS6sf0YrS2wWuiKBQQDAqP_gzSPKEAL_wjwPh9TouDmUL4ky&amp;_nc_ohc=g8c4VMcQYaAQ7kNvwGoL8lR&amp;_nc_gid=qTgsIL9vEalCowhNT76z1Q&amp;edm=AI-cjbYBAAAA&amp;ccb=7-5&amp;oh=00_Af1_1ooiZnnaBxuA0bAIYR4Hi2F0VGIWLEjMoh6KAHK7RA&amp;oe=69D8CA5C&amp;_nc_sid=0985b0</t>
  </si>
  <si>
    <t>eclacio.candidooficial</t>
  </si>
  <si>
    <t>Amo este lugar❤️</t>
  </si>
  <si>
    <t>12/07/2019, 17:53:29</t>
  </si>
  <si>
    <t>https://www.instagram.com/eclacio.candidooficial</t>
  </si>
  <si>
    <t>https://instagram.fcgh5-2.fna.fbcdn.net/v/t51.82787-19/655128699_18579748648020667_7307797706889625535_n.jpg?stp=dst-jpg_s150x150_tt6&amp;efg=eyJ2ZW5jb2RlX3RhZyI6InByb2ZpbGVfcGljLmRqYW5nby4xMDgwLmMyIn0&amp;_nc_ht=instagram.fcgh5-2.fna.fbcdn.net&amp;_nc_cat=107&amp;_nc_oc=Q6cZ2gEE6G8WZwbtu06qq4Mkgf1SyzbusCz90WSVX_KsfwNOEAuzrXZ7oUNs4eNY5sU1gh2rsnsfSn-dB9qi_RJ76JrD&amp;_nc_ohc=sj4LnwA2CQsQ7kNvwEpytBu&amp;_nc_gid=fxjRs9xGBZdJNZVV4dG6PQ&amp;edm=AI-cjbYBAAAA&amp;ccb=7-5&amp;oh=00_Af1F6k-3kIOzK9FSvn2nLpj2pafp6X_pbS88_gK8hDPU-w&amp;oe=69D8D599&amp;_nc_sid=0985b0</t>
  </si>
  <si>
    <t>avantisclinica</t>
  </si>
  <si>
    <t>👏!!!!</t>
  </si>
  <si>
    <t>15/10/2017, 18:26:06</t>
  </si>
  <si>
    <t>https://www.instagram.com/avantisclinica</t>
  </si>
  <si>
    <t>https://instagram.fcgh5-1.fna.fbcdn.net/v/t51.2885-19/42532380_2203460046332957_738300746423861248_n.jpg?stp=dst-jpg_s150x150_tt6&amp;efg=eyJ2ZW5jb2RlX3RhZyI6InByb2ZpbGVfcGljLmRqYW5nby40NTIuYzIifQ&amp;_nc_ht=instagram.fcgh5-1.fna.fbcdn.net&amp;_nc_cat=105&amp;_nc_oc=Q6cZ2gEkVz5PhPk9hio4dgCdB-XEUJU9OsziB4ItKTzHiZ2JGwPm_etp81NYCwyCni99ApiXtOaFZ3vk46kOBClSWPMr&amp;_nc_ohc=2VD2OiTYbJcQ7kNvwEqWYkO&amp;_nc_gid=6LtfR5AyUR4reCldEjG7Bg&amp;edm=AI-cjbYBAAAA&amp;ccb=7-5&amp;oh=00_Af1ZWFRzXnSijTwi1-Hp5O3hG6MPkjeO9XCBNBHam_IT6g&amp;oe=69D8BADF&amp;_nc_sid=0985b0</t>
  </si>
  <si>
    <t>cabralserginho</t>
  </si>
  <si>
    <t>💥💥💥</t>
  </si>
  <si>
    <t>06/10/2017, 14:21:43</t>
  </si>
  <si>
    <t>https://www.instagram.com/cabralserginho</t>
  </si>
  <si>
    <t>https://instagram.fcgh5-2.fna.fbcdn.net/v/t51.82787-19/629027290_18548595388061236_2559645357458070606_n.jpg?stp=dst-jpg_s150x150_tt6&amp;efg=eyJ2ZW5jb2RlX3RhZyI6InByb2ZpbGVfcGljLmRqYW5nby4xMDgwLmMyIn0&amp;_nc_ht=instagram.fcgh5-2.fna.fbcdn.net&amp;_nc_cat=104&amp;_nc_oc=Q6cZ2gEVzSv--FUsj7sv0DFeUtBPi5N0JsRGzRbkmMJfj_VX88LZ9j8oiV3Z-7M0cGQFMOukvowYRmkjFpvbvVjlUadw&amp;_nc_ohc=jDBYGk9bo3oQ7kNvwEfV8Wd&amp;_nc_gid=o_BNz7KOGdktbg1a9WMfUQ&amp;edm=AI-cjbYBAAAA&amp;ccb=7-5&amp;oh=00_Af1wY2PVAVWJ2WfpCpo3xeWwJqBXBQZ76FCmlXKS4Y-t9g&amp;oe=69D8DAB0&amp;_nc_sid=0985b0</t>
  </si>
  <si>
    <t>arqtect_vr</t>
  </si>
  <si>
    <t>06/10/2017, 20:19:33</t>
  </si>
  <si>
    <t>https://www.instagram.com/arqtect_vr</t>
  </si>
  <si>
    <t>https://instagram.fcgh5-2.fna.fbcdn.net/v/t51.2885-19/143267521_749285916012433_2795060596455102727_n.jpg?stp=dst-jpg_s150x150_tt6&amp;efg=eyJ2ZW5jb2RlX3RhZyI6InByb2ZpbGVfcGljLmRqYW5nby44NTguYzIifQ&amp;_nc_ht=instagram.fcgh5-2.fna.fbcdn.net&amp;_nc_cat=101&amp;_nc_oc=Q6cZ2gHD_jjVVe-MdUTtR7OdRKikTsbLsdIKm1-7ZRfk7dL5mlVnfkBeSdXcWpTrdxBjYQpCdx6ZblHpNphA1WyOdgAv&amp;_nc_ohc=rhvyqzEuTuIQ7kNvwEVy5K_&amp;_nc_gid=fYIZlNuiyobi9KHGdsSAkQ&amp;edm=AI-cjbYBAAAA&amp;ccb=7-5&amp;oh=00_Af0_7S6ouKiwehtZIJQs24FaOQ9gJhN3fqSAFZPRV8gY8w&amp;oe=69D8C1FB&amp;_nc_sid=0985b0</t>
  </si>
  <si>
    <t>naoesoviagem_</t>
  </si>
  <si>
    <t>09/10/2017, 19:01:39</t>
  </si>
  <si>
    <t>https://www.instagram.com/naoesoviagem_</t>
  </si>
  <si>
    <t>https://instagram.fcgh5-2.fna.fbcdn.net/v/t51.82787-19/660212597_18549385564070370_585842658585912245_n.jpg?stp=dst-jpg_s150x150_tt6&amp;efg=eyJ2ZW5jb2RlX3RhZyI6InByb2ZpbGVfcGljLmRqYW5nby4xMDgwLmMyIn0&amp;_nc_ht=instagram.fcgh5-2.fna.fbcdn.net&amp;_nc_cat=106&amp;_nc_oc=Q6cZ2gHD_jjVVe-MdUTtR7OdRKikTsbLsdIKm1-7ZRfk7dL5mlVnfkBeSdXcWpTrdxBjYQpCdx6ZblHpNphA1WyOdgAv&amp;_nc_ohc=TRbYovFPdPcQ7kNvwERCpKX&amp;_nc_gid=fYIZlNuiyobi9KHGdsSAkQ&amp;edm=AI-cjbYBAAAA&amp;ccb=7-5&amp;oh=00_Af3dS2uYJ4kpJbfXybkCUyl9LzN-xOgm0rzWTtGz9eZiBg&amp;oe=69D8BE59&amp;_nc_sid=0985b0</t>
  </si>
  <si>
    <t>connorgotto</t>
  </si>
  <si>
    <t>💅🏻💅🏻💅🏻</t>
  </si>
  <si>
    <t>24/06/2019, 11:02:11</t>
  </si>
  <si>
    <t>https://www.instagram.com/connorgotto</t>
  </si>
  <si>
    <t>https://instagram.fcgh5-1.fna.fbcdn.net/v/t51.82787-19/655734326_18519936481072797_7213447656286483975_n.jpg?stp=dst-jpg_s150x150_tt6&amp;efg=eyJ2ZW5jb2RlX3RhZyI6InByb2ZpbGVfcGljLmRqYW5nby4xMDgwLmMyIn0&amp;_nc_ht=instagram.fcgh5-1.fna.fbcdn.net&amp;_nc_cat=109&amp;_nc_oc=Q6cZ2gHkiKn1UGi_VV3QqdMOd420PAO25crSjgkuh9vOQWfdsIvJBxAnkb5s-wtKzjA9n2BlGgTweEKIv9jyJCsjmxIu&amp;_nc_ohc=b-pK4_tSS3wQ7kNvwGOQSUj&amp;_nc_gid=5NzrHQmtL4mi_qtqNzxjmg&amp;edm=AI-cjbYBAAAA&amp;ccb=7-5&amp;oh=00_Af3Ej3KXcGrTjClYZ5DHbq8E-4dcXYFE0h-K7x0CkobGuQ&amp;oe=69D8D1ED&amp;_nc_sid=0985b0</t>
  </si>
  <si>
    <t>https://instagram.fcgh5-1.fna.fbcdn.net/v/t51.82787-19/655734326_18519936481072797_7213447656286483975_n.jpg?stp=dst-jpg_s150x150_tt6&amp;efg=eyJ2ZW5jb2RlX3RhZyI6InByb2ZpbGVfcGljLmRqYW5nby4xMDgwLmMyIn0&amp;_nc_ht=instagram.fcgh5-1.fna.fbcdn.net&amp;_nc_cat=109&amp;_nc_oc=Q6cZ2gFcajYeiN_eBhZS44k4KeAM2DAkJgQHUikm87Hmnmtmag3BhSo3j6fyTDyRyMc3rtcgaKv_wZm6gPpSe1mub8YX&amp;_nc_ohc=b-pK4_tSS3wQ7kNvwGOQSUj&amp;_nc_gid=G9bLoFqs-zWAgXIBfq0IbA&amp;edm=AI-cjbYBAAAA&amp;ccb=7-5&amp;oh=00_Af3r3bevQLPiEICJr0sjvDW_EwJBYekw34KdDxk6YwwmnQ&amp;oe=69D8D1ED&amp;_nc_sid=0985b0</t>
  </si>
  <si>
    <t>Brasil na kbca</t>
  </si>
  <si>
    <t>05/07/2019, 21:03:10</t>
  </si>
  <si>
    <t>https://instagram.fcgh5-1.fna.fbcdn.net/v/t51.2885-19/46117954_2246463615386855_3469941375934398464_n.jpg?stp=dst-jpg_s150x150_tt6&amp;efg=eyJ2ZW5jb2RlX3RhZyI6InByb2ZpbGVfcGljLmRqYW5nby4zMDAuYzIifQ&amp;_nc_ht=instagram.fcgh5-1.fna.fbcdn.net&amp;_nc_cat=111&amp;_nc_oc=Q6cZ2gFoSbuTpMOvbuh6LJqNx_tT-2gc-sURp6JcIm93RU447X7jOR6ethO-HdSrzQCvRKdYJFpqu7bo7vS1LkqUhBg4&amp;_nc_ohc=S4nlOub5p0sQ7kNvwEoxIX1&amp;_nc_gid=2bY31CUBGfByTgmAHmwmUg&amp;edm=AI-cjbYBAAAA&amp;ccb=7-5&amp;oh=00_Af2IZe2mG7xfvEOvdYDqsORg_Z6WRfkY5siwmB1MbT6QFw&amp;oe=69D8A47C&amp;_nc_sid=0985b0</t>
  </si>
  <si>
    <t>juniorvolcato</t>
  </si>
  <si>
    <t>03/10/2017, 19:28:19</t>
  </si>
  <si>
    <t>https://www.instagram.com/juniorvolcato</t>
  </si>
  <si>
    <t>https://instagram.fcgh5-1.fna.fbcdn.net/v/t51.2885-19/20635494_861414450679649_3243008652772114432_a.jpg?stp=dst-jpg_s150x150_tt6&amp;efg=eyJ2ZW5jb2RlX3RhZyI6InByb2ZpbGVfcGljLmRqYW5nby4xMDgwLmMyIn0&amp;_nc_ht=instagram.fcgh5-1.fna.fbcdn.net&amp;_nc_cat=105&amp;_nc_oc=Q6cZ2gF31BGRS8EVQGdpQ1y0IJmQUfWi_P1OqnE-AlJnvvgktyTYzmO-fEL4SakbK_Yq2R9_8M23-5nDFln-pCHKZstK&amp;_nc_ohc=A1pWiwu1WFkQ7kNvwFaa9Ye&amp;_nc_gid=3e-rdOErOZJ0uHeR7tHyug&amp;edm=AI-cjbYBAAAA&amp;ccb=7-5&amp;oh=00_Af3ScfMOszj35d_bBIMmi_IE_0hyK4wAUWPg-1SdPVUhBg&amp;oe=69D8D9A6&amp;_nc_sid=0985b0</t>
  </si>
  <si>
    <t>willsolomonstudios</t>
  </si>
  <si>
    <t>04/10/2017, 12:23:16</t>
  </si>
  <si>
    <t>https://www.instagram.com/willsolomonstudios</t>
  </si>
  <si>
    <t>https://instagram.fcgh5-2.fna.fbcdn.net/v/t51.82787-19/544803836_18538890589001796_2264320593616992558_n.jpg?stp=dst-jpg_s150x150_tt6&amp;efg=eyJ2ZW5jb2RlX3RhZyI6InByb2ZpbGVfcGljLmRqYW5nby4xMDgwLmMyIn0&amp;_nc_ht=instagram.fcgh5-2.fna.fbcdn.net&amp;_nc_cat=100&amp;_nc_oc=Q6cZ2gF31BGRS8EVQGdpQ1y0IJmQUfWi_P1OqnE-AlJnvvgktyTYzmO-fEL4SakbK_Yq2R9_8M23-5nDFln-pCHKZstK&amp;_nc_ohc=vsNuo3QCb3AQ7kNvwHksXrK&amp;_nc_gid=3e-rdOErOZJ0uHeR7tHyug&amp;edm=AI-cjbYBAAAA&amp;ccb=7-5&amp;oh=00_Af0d1c5NG5DSwarHyno9fx1L89zp8NjyoXa3S_D71xs2XQ&amp;oe=69D8E2B9&amp;_nc_sid=0985b0</t>
  </si>
  <si>
    <t>agenormagalhaes</t>
  </si>
  <si>
    <t>O que adianta promoções se não cuidam bem da sua bagagem!!!! Voar Latam ?!? Não mais .....</t>
  </si>
  <si>
    <t>30/06/2019, 16:21:05</t>
  </si>
  <si>
    <t>https://www.instagram.com/agenormagalhaes</t>
  </si>
  <si>
    <t>https://instagram.fcgh5-2.fna.fbcdn.net/v/t51.2885-19/259564393_424559539258035_8594470695420469221_n.jpg?stp=dst-jpg_s150x150_tt6&amp;efg=eyJ2ZW5jb2RlX3RhZyI6InByb2ZpbGVfcGljLmRqYW5nby4xMDgwLmMyIn0&amp;_nc_ht=instagram.fcgh5-2.fna.fbcdn.net&amp;_nc_cat=103&amp;_nc_oc=Q6cZ2gFDsihakw-jeLttzez8MRKMifdrMGpCgz2eIy0lkZvwvw93v9lyy34o7hPSgxMh3kjv7KCHdVaHi6dVeU_RiE0w&amp;_nc_ohc=q5zL8iwY8eoQ7kNvwFoyUGf&amp;_nc_gid=gU5SJD_V9E3fat6VyfqrAg&amp;edm=AI-cjbYBAAAA&amp;ccb=7-5&amp;oh=00_Af2d-2-tFV3dWKqPwOOzaVPqjGn_YGopdYRzr6E5OXIk6g&amp;oe=69D8C166&amp;_nc_sid=0985b0</t>
  </si>
  <si>
    <t>japanlives</t>
  </si>
  <si>
    <t>Spectacular Image!</t>
  </si>
  <si>
    <t>24/09/2017, 01:25:49</t>
  </si>
  <si>
    <t>https://www.instagram.com/japanlives</t>
  </si>
  <si>
    <t>https://instagram.fcgh5-1.fna.fbcdn.net/v/t51.2885-19/70890549_2440577362647514_6628814273667661824_n.jpg?stp=dst-jpg_s150x150_tt6&amp;efg=eyJ2ZW5jb2RlX3RhZyI6InByb2ZpbGVfcGljLmRqYW5nby4xMDgwLmMyIn0&amp;_nc_ht=instagram.fcgh5-1.fna.fbcdn.net&amp;_nc_cat=110&amp;_nc_oc=Q6cZ2gHaX9gs3FuLAQC36DRjPCKGOl1IQ9T2M4jZci01IKymiwNRFClqFYy55taz9sjZPX8r0jhxwa-jb7jpm2HW6bvk&amp;_nc_ohc=MpX4E9whdO4Q7kNvwEqkp7h&amp;_nc_gid=ODWTZf3Ana0oHnYUqjOUcA&amp;edm=AI-cjbYBAAAA&amp;ccb=7-5&amp;oh=00_Af0lzpEf3cpldTL1lObHhBccrBmz0JF3QouRS25UyI2Kaw&amp;oe=69D8DB8A&amp;_nc_sid=0985b0</t>
  </si>
  <si>
    <t>portalspotlife</t>
  </si>
  <si>
    <t>Adorei</t>
  </si>
  <si>
    <t>23/04/2020, 13:05:31</t>
  </si>
  <si>
    <t>https://www.instagram.com/portalspotlife</t>
  </si>
  <si>
    <t>https://instagram.fcgh5-1.fna.fbcdn.net/v/t51.2885-19/42505854_748459408858067_2218127983049179136_n.jpg?stp=dst-jpg_s150x150_tt6&amp;efg=eyJ2ZW5jb2RlX3RhZyI6InByb2ZpbGVfcGljLmRqYW5nby4xNTAuYzIifQ&amp;_nc_ht=instagram.fcgh5-1.fna.fbcdn.net&amp;_nc_cat=111&amp;_nc_oc=Q6cZ2gERH1eEgbnKHKUqehMq3jy9mMdWMzdft7CK6v4_B8yNPb4CLFpkBV0OwLqgV8DIahrqNjnK7jDCkHwErOHVSWez&amp;_nc_ohc=idUJDTgYGKUQ7kNvwG6xUOV&amp;_nc_gid=3Xs6hctYVadNWG_vNS8dZg&amp;edm=AI-cjbYBAAAA&amp;ccb=7-5&amp;oh=00_Af1gneDUGYYW-WElpkQr4_tY509uZ7bCh6Rl8dgFoSrIIg&amp;oe=69D8A1CD&amp;_nc_sid=0985b0</t>
  </si>
  <si>
    <t>https://instagram.fcgh5-1.fna.fbcdn.net/v/t51.2885-19/42505854_748459408858067_2218127983049179136_n.jpg?stp=dst-jpg_s150x150_tt6&amp;efg=eyJ2ZW5jb2RlX3RhZyI6InByb2ZpbGVfcGljLmRqYW5nby4xNTAuYzIifQ&amp;_nc_ht=instagram.fcgh5-1.fna.fbcdn.net&amp;_nc_cat=111&amp;_nc_oc=Q6cZ2gEsttPULaHoOi7LE8Ns6wb1AhQqE6zkZINy-_BI4SCcRgqz1N3H7liZcHlm5VbEAQi-hGi1BOx6fsRaoUqwzpsu&amp;_nc_ohc=idUJDTgYGKUQ7kNvwG6xUOV&amp;_nc_gid=dyxSS8DuyXP25wGwAoh24g&amp;edm=AI-cjbYBAAAA&amp;ccb=7-5&amp;oh=00_Af1SR0JrBeTBkkd_NzzzZIiuoHhNewoMXHOD-Cm9hLIWxg&amp;oe=69D8A1CD&amp;_nc_sid=0985b0</t>
  </si>
  <si>
    <t>⠀
#revistaembarque #ficaemcasa #covid19 #coronavirus #rotacoronavirus</t>
  </si>
  <si>
    <t>30/04/2020, 21:46:58</t>
  </si>
  <si>
    <t>https://instagram.fcgh5-2.fna.fbcdn.net/v/t51.82787-19/574233390_18393115045123935_8706979050179224508_n.jpg?stp=dst-jpg_s150x150_tt6&amp;efg=eyJ2ZW5jb2RlX3RhZyI6InByb2ZpbGVfcGljLmRqYW5nby4xMDgwLmMyIn0&amp;_nc_ht=instagram.fcgh5-2.fna.fbcdn.net&amp;_nc_cat=103&amp;_nc_oc=Q6cZ2gFlIPtycHg61Im8yiJTrMMOihc_Eqsr_bgI1bX9BpTUpzgzhn7dGbxlmRw-7R1UEwXvuJ5B8ACiNQTseJWOhkgW&amp;_nc_ohc=DthU4rOQI7wQ7kNvwFUA_tX&amp;_nc_gid=tsOb_0Ia-FbDs18NMv0dXw&amp;edm=AI-cjbYBAAAA&amp;ccb=7-5&amp;oh=00_Af1Hk-E8aB-eqOwMqQ7F8sgruV99UyrqyoKZrxoYvsxN-w&amp;oe=69D8BA9A&amp;_nc_sid=0985b0</t>
  </si>
  <si>
    <t>https://instagram.fcgh5-2.fna.fbcdn.net/v/t51.82787-19/574233390_18393115045123935_8706979050179224508_n.jpg?stp=dst-jpg_s150x150_tt6&amp;efg=eyJ2ZW5jb2RlX3RhZyI6InByb2ZpbGVfcGljLmRqYW5nby4xMDgwLmMyIn0&amp;_nc_ht=instagram.fcgh5-2.fna.fbcdn.net&amp;_nc_cat=103&amp;_nc_oc=Q6cZ2gHehIQRf-g8WGf0DKLb1XIkh2FvRrKoHhRN-YdavwNHhrp6dQv9cBocca4vx2KxYByAjhWg7RO5o-tyDPb3xUIX&amp;_nc_ohc=DthU4rOQI7wQ7kNvwFUA_tX&amp;_nc_gid=WhRiH13Lsk1f49ewgN3R1Q&amp;edm=AI-cjbYBAAAA&amp;ccb=7-5&amp;oh=00_Af13GwhKj3cRVJpNCxYhxRIHo-Pfo-WoVHXOA5qZRs3ulw&amp;oe=69D8BA9A&amp;_nc_sid=0985b0</t>
  </si>
  <si>
    <t>dianapucca1</t>
  </si>
  <si>
    <t>😢😢😢😢😢</t>
  </si>
  <si>
    <t>09/08/2024, 19:43:34</t>
  </si>
  <si>
    <t>https://www.instagram.com/dianapucca1</t>
  </si>
  <si>
    <t>https://instagram.fcgh5-2.fna.fbcdn.net/v/t51.82787-19/582521631_18546845392011079_5766508440886731283_n.jpg?stp=dst-jpg_s150x150_tt6&amp;efg=eyJ2ZW5jb2RlX3RhZyI6InByb2ZpbGVfcGljLmRqYW5nby40MDUuYzIifQ&amp;_nc_ht=instagram.fcgh5-2.fna.fbcdn.net&amp;_nc_cat=107&amp;_nc_oc=Q6cZ2gFTRZ4Xz9WT12MdQYj95EQL6yGqgsIHYYIcBTK0t2aPttzUyrN7V9wDAoXhdedW078XaSTqGOkcUGrvPDGUCW-u&amp;_nc_ohc=u1nuDAG130YQ7kNvwE0FmPR&amp;_nc_gid=FY_6-DgTdYCkhaKSX7Xa8g&amp;edm=AI-cjbYBAAAA&amp;ccb=7-5&amp;oh=00_Af0zq456Wxzy9WFRN2XRFF52wh_4FaXBYNcA1-c8ItI3DQ&amp;oe=69D86893&amp;_nc_sid=0985b0</t>
  </si>
  <si>
    <t>thecamila.ro</t>
  </si>
  <si>
    <t>😢</t>
  </si>
  <si>
    <t>09/08/2024, 22:57:07</t>
  </si>
  <si>
    <t>https://www.instagram.com/thecamila.ro</t>
  </si>
  <si>
    <t>https://instagram.fcgh5-2.fna.fbcdn.net/v/t51.82787-19/560074988_18530105980037400_5425002706078262604_n.jpg?stp=dst-jpg_s150x150_tt6&amp;efg=eyJ2ZW5jb2RlX3RhZyI6InByb2ZpbGVfcGljLmRqYW5nby4xMDgwLmMyIn0&amp;_nc_ht=instagram.fcgh5-2.fna.fbcdn.net&amp;_nc_cat=100&amp;_nc_oc=Q6cZ2gGkKJGyS3XZmwUqXuhC2zqKm-DKST6S5ZSKmP2mPWX5X5rdM_uTsV4JGl-RVf150Vp4ndrq-ZZNt5IXQ63laa9x&amp;_nc_ohc=utVejO2dzhMQ7kNvwFAslxo&amp;_nc_gid=iGNg4kDUaHwffQaM7YKPLA&amp;edm=AI-cjbYBAAAA&amp;ccb=7-5&amp;oh=00_Af2RV5YZoQVTFtf7fn2nAwcWUm-6amJ9GlqoQmu4iRxiaA&amp;oe=69D86513&amp;_nc_sid=0985b0</t>
  </si>
  <si>
    <t>janafreire3.7</t>
  </si>
  <si>
    <t>😢😢</t>
  </si>
  <si>
    <t>10/08/2024, 13:49:50</t>
  </si>
  <si>
    <t>https://www.instagram.com/janafreire3.7</t>
  </si>
  <si>
    <t>https://instagram.fcgh5-1.fna.fbcdn.net/v/t51.82787-19/640506379_18573254794059045_8521604757524809679_n.jpg?stp=dst-jpg_s150x150_tt6&amp;efg=eyJ2ZW5jb2RlX3RhZyI6InByb2ZpbGVfcGljLmRqYW5nby4xMDgwLmMyIn0&amp;_nc_ht=instagram.fcgh5-1.fna.fbcdn.net&amp;_nc_cat=109&amp;_nc_oc=Q6cZ2gGkKJGyS3XZmwUqXuhC2zqKm-DKST6S5ZSKmP2mPWX5X5rdM_uTsV4JGl-RVf150Vp4ndrq-ZZNt5IXQ63laa9x&amp;_nc_ohc=Kiaf6qMw9WsQ7kNvwGrZXOg&amp;_nc_gid=iGNg4kDUaHwffQaM7YKPLA&amp;edm=AI-cjbYBAAAA&amp;ccb=7-5&amp;oh=00_Af1quGdclWW9Mi0NrAUfEcQDNpavXxVcjXBvJbc_TRxkHg&amp;oe=69D88B01&amp;_nc_sid=0985b0</t>
  </si>
  <si>
    <t>vipclasstur</t>
  </si>
  <si>
    <t>14/01/2024, 16:24:50</t>
  </si>
  <si>
    <t>https://www.instagram.com/vipclasstur</t>
  </si>
  <si>
    <t>https://instagram.fcgh5-1.fna.fbcdn.net/v/t51.2885-19/10899325_865042120184938_249555236_a.jpg?stp=dst-jpg_s150x150_tt6&amp;efg=eyJ2ZW5jb2RlX3RhZyI6InByb2ZpbGVfcGljLmRqYW5nby4xNTAuYzIifQ&amp;_nc_ht=instagram.fcgh5-1.fna.fbcdn.net&amp;_nc_cat=110&amp;_nc_oc=Q6cZ2gEWd3k3u9aOLuR6WIFjwRIhcvbQN5tqFa5c7mlfe96l0lRsUv0DMOmX2E-L-v81UULuG8IZ9JzV7f7OxSP1oRo5&amp;_nc_ohc=6HT9J94uHDwQ7kNvwHESXBb&amp;_nc_gid=C8__jacVkvjLkYCHK7o3cQ&amp;edm=AI-cjbYBAAAA&amp;ccb=7-5&amp;oh=00_Af3NCaBR09wZ8u2lzC2pbe_ZoxAX24Ip9VNEL2IOiCfZcA&amp;oe=69D8A0B5&amp;_nc_sid=0985b0</t>
  </si>
  <si>
    <t>voajessie</t>
  </si>
  <si>
    <t>Que lindaaaa ❤️ Feliz Ano Novo para equipe ❤️</t>
  </si>
  <si>
    <t>11/01/2024, 07:13:57</t>
  </si>
  <si>
    <t>https://www.instagram.com/voajessie</t>
  </si>
  <si>
    <t>https://instagram.fcgh5-2.fna.fbcdn.net/v/t51.82787-19/658144830_18593121715024288_6409399831629143427_n.jpg?stp=dst-jpg_s150x150_tt6&amp;efg=eyJ2ZW5jb2RlX3RhZyI6InByb2ZpbGVfcGljLmRqYW5nby4xMDgwLmMyIn0&amp;_nc_ht=instagram.fcgh5-2.fna.fbcdn.net&amp;_nc_cat=104&amp;_nc_oc=Q6cZ2gFUoGvi4p8N6oRr8I9C8nkJIddmusSJKgMtIUQMrVusmWTWjU_Lk6KGJRJZGrQ7JqGvwaWez1kkav2cpEV1FXFF&amp;_nc_ohc=O0OKrsL9-5cQ7kNvwF2B82_&amp;_nc_gid=dk1R1cJzrVKOzTNcckxmwg&amp;edm=AI-cjbYBAAAA&amp;ccb=7-5&amp;oh=00_Af2UHSRYwtpXA0yHXEw-nnI3nTlfjJwbKpsBdNV8HOv-Hg&amp;oe=69D89F88&amp;_nc_sid=0985b0</t>
  </si>
  <si>
    <t>azulinhasaereas</t>
  </si>
  <si>
    <t>✈️✈️✈️</t>
  </si>
  <si>
    <t>12/01/2024, 20:03:23</t>
  </si>
  <si>
    <t>https://www.instagram.com/azulinhasaereas</t>
  </si>
  <si>
    <t>https://instagram.fcgh5-1.fna.fbcdn.net/v/t51.82787-19/639729863_18558452059034200_3549853680080427108_n.jpg?stp=dst-jpg_s150x150_tt6&amp;efg=eyJ2ZW5jb2RlX3RhZyI6InByb2ZpbGVfcGljLmRqYW5nby4xMDgwLmMyIn0&amp;_nc_ht=instagram.fcgh5-1.fna.fbcdn.net&amp;_nc_cat=1&amp;_nc_oc=Q6cZ2gFG53qEDN2-ycVcm6rxehNGkMCtevLoMNOhOfLNaC86j1GswZSGoCsaX_6OkRnCN28ocC_XHTXhRplljaJHYlws&amp;_nc_ohc=47p0b8hb-YgQ7kNvwFrImPo&amp;_nc_gid=6T53rOsSok9B-dn5iCDC2w&amp;edm=AI-cjbYBAAAA&amp;ccb=7-5&amp;oh=00_Af0W5AisNmgGfCoTBsJYnTNFGmm-vaVyB3NkEFaFaB094Q&amp;oe=69D8C1D7&amp;_nc_sid=0985b0</t>
  </si>
  <si>
    <t>jairwathier</t>
  </si>
  <si>
    <t>O piloto comandante da aeronave não irá permitir q um leigo supervisione o serviço dele no cock pit. Ou cabine de comando.</t>
  </si>
  <si>
    <t>17/02/2024, 14:23:23</t>
  </si>
  <si>
    <t>https://www.instagram.com/jairwathier</t>
  </si>
  <si>
    <t>https://instagram.fcgh5-1.fna.fbcdn.net/v/t51.2885-19/504335996_18390469951189337_3311991931757532496_n.jpg?stp=dst-jpg_s150x150_tt6&amp;efg=eyJ2ZW5jb2RlX3RhZyI6InByb2ZpbGVfcGljLmRqYW5nby4xMDgwLmMyIn0&amp;_nc_ht=instagram.fcgh5-1.fna.fbcdn.net&amp;_nc_cat=105&amp;_nc_oc=Q6cZ2gGKAiQc_NN22krhJbm8FIURvl18wbOzyTKoDA5Q3bJcEw4N_LR64gVd6QP_9YAS6COYYloPr9lRC_u2Pf-S0_mb&amp;_nc_ohc=ZXWD8gTtHRMQ7kNvwFGs_o1&amp;_nc_gid=1JFFZ3t8wswMpHN8nxWBiQ&amp;edm=AI-cjbYBAAAA&amp;ccb=7-5&amp;oh=00_Af08XuGPx70WAVYihJWhxAY3sIh1_cale4gHIt2EFCHOyA&amp;oe=69D8A426&amp;_nc_sid=0985b0</t>
  </si>
  <si>
    <t>Sequer IATA  e outros órgãos internacionais o irão permitir. Poderá ser  posto.  Serviços de pilotagem e comissário  de bordô estarão fora  desta.</t>
  </si>
  <si>
    <t>17/02/2024, 14:28:01</t>
  </si>
  <si>
    <t>heloisazenkner</t>
  </si>
  <si>
    <t>👏👏🙌🙌</t>
  </si>
  <si>
    <t>12/05/2024, 20:30:53</t>
  </si>
  <si>
    <t>https://www.instagram.com/heloisazenkner</t>
  </si>
  <si>
    <t>https://instagram.fcgh5-2.fna.fbcdn.net/v/t51.82787-19/600048388_18291153403263592_8734089106250557752_n.jpg?stp=dst-jpg_s150x150_tt6&amp;efg=eyJ2ZW5jb2RlX3RhZyI6InByb2ZpbGVfcGljLmRqYW5nby4xMDgwLmMyIn0&amp;_nc_ht=instagram.fcgh5-2.fna.fbcdn.net&amp;_nc_cat=104&amp;_nc_oc=Q6cZ2gEvRGrnyTnmKTGPA59rOrjZFhLvmw7z8nXK8fgUdoEBIHMpPsz2k0uzU7-wEAb4lV0Hpw9a_gmWwRRPQns7TpS4&amp;_nc_ohc=_O4bW-5QnYwQ7kNvwFhEq9o&amp;_nc_gid=v33nzAAmPgCG3A9Mrwd_Ww&amp;edm=AI-cjbYBAAAA&amp;ccb=7-5&amp;oh=00_Af31Mn6ZgOSHKZMsUrXXOQKKiQ1P_USeSyI4ctneE5cdAA&amp;oe=69D87042&amp;_nc_sid=0985b0</t>
  </si>
  <si>
    <t>12/05/2024, 22:04:36</t>
  </si>
  <si>
    <t>https://instagram.fcgh5-2.fna.fbcdn.net/v/t51.82787-19/574233390_18393115045123935_8706979050179224508_n.jpg?stp=dst-jpg_s150x150_tt6&amp;efg=eyJ2ZW5jb2RlX3RhZyI6InByb2ZpbGVfcGljLmRqYW5nby4xMDgwLmMyIn0&amp;_nc_ht=instagram.fcgh5-2.fna.fbcdn.net&amp;_nc_cat=103&amp;_nc_oc=Q6cZ2gEvRGrnyTnmKTGPA59rOrjZFhLvmw7z8nXK8fgUdoEBIHMpPsz2k0uzU7-wEAb4lV0Hpw9a_gmWwRRPQns7TpS4&amp;_nc_ohc=DthU4rOQI7wQ7kNvwFUA_tX&amp;_nc_gid=v33nzAAmPgCG3A9Mrwd_Ww&amp;edm=AI-cjbYBAAAA&amp;ccb=7-5&amp;oh=00_Af2KI2HG5ksyAtlqhGtaglD0zLF89s14d1mfOhUnZK6hwQ&amp;oe=69D8825A&amp;_nc_sid=0985b0</t>
  </si>
  <si>
    <t>kivanovicn</t>
  </si>
  <si>
    <t>😢😢😢😢</t>
  </si>
  <si>
    <t>14/05/2024, 18:25:30</t>
  </si>
  <si>
    <t>https://www.instagram.com/kivanovicn</t>
  </si>
  <si>
    <t>https://instagram.fcgh5-2.fna.fbcdn.net/v/t51.82787-19/560386346_18530069614001713_6834724840505091412_n.jpg?stp=dst-jpg_s150x150_tt6&amp;efg=eyJ2ZW5jb2RlX3RhZyI6InByb2ZpbGVfcGljLmRqYW5nby43MTcuYzIifQ&amp;_nc_ht=instagram.fcgh5-2.fna.fbcdn.net&amp;_nc_cat=101&amp;_nc_oc=Q6cZ2gEgw7ceVMFnBjtKc_GZqHGmk_Au7_x02A2fUxIXklhTPOZinEq106VOczPNRf4KwJOs_reLthCk7A-G_vv0K3qU&amp;_nc_ohc=7cWADD3ZR8YQ7kNvwHqluY5&amp;_nc_gid=UNuWU-sIVe8E9kxcZsPJww&amp;edm=AI-cjbYBAAAA&amp;ccb=7-5&amp;oh=00_Af18itoLxku5eHnRfs-YmGEY5zQFO1oEt3xiX05--pawYQ&amp;oe=69D86258&amp;_nc_sid=0985b0</t>
  </si>
  <si>
    <t>joseanearouche</t>
  </si>
  <si>
    <t>Que Deus tenha piedade e ampare a todos principalmente os mais atingidos por essa tragédia 🙌</t>
  </si>
  <si>
    <t>04/05/2024, 13:04:12</t>
  </si>
  <si>
    <t>https://www.instagram.com/joseanearouche</t>
  </si>
  <si>
    <t>https://instagram.fcgh5-1.fna.fbcdn.net/v/t51.2885-19/467312831_455039384275341_9065287417118788944_n.jpg?stp=dst-jpg_s150x150_tt6&amp;efg=eyJ2ZW5jb2RlX3RhZyI6InByb2ZpbGVfcGljLmRqYW5nby4xMDgwLmMyIn0&amp;_nc_ht=instagram.fcgh5-1.fna.fbcdn.net&amp;_nc_cat=109&amp;_nc_oc=Q6cZ2gEl-oHas2J9KzOHko_43x1cQh3Bwaz22e2dO-AruSXNG6Mk8G8kbDtt1NHsLAqcfP1JH2WQNDlwBklJJR9N5UOj&amp;_nc_ohc=BGBw7biKhMMQ7kNvwGUa5cN&amp;_nc_gid=9b2pYDhPsGNvRR5wYyQtPQ&amp;edm=AI-cjbYBAAAA&amp;ccb=7-5&amp;oh=00_Af05nvXDOtVXDBmy7XF2zvzZMmzJ4qoHW2V0mMqgoUKpRA&amp;oe=69D8999D&amp;_nc_sid=0985b0</t>
  </si>
  <si>
    <t>jorgevolmerferreira</t>
  </si>
  <si>
    <t>Triste demais 😢😢</t>
  </si>
  <si>
    <t>04/05/2024, 20:18:32</t>
  </si>
  <si>
    <t>https://www.instagram.com/jorgevolmerferreira</t>
  </si>
  <si>
    <t>https://instagram.fcgh5-2.fna.fbcdn.net/v/t51.2885-19/119125565_382288489433922_8372104668889688175_n.jpg?stp=dst-jpg_s150x150_tt6&amp;efg=eyJ2ZW5jb2RlX3RhZyI6InByb2ZpbGVfcGljLmRqYW5nby43MTkuYzIifQ&amp;_nc_ht=instagram.fcgh5-2.fna.fbcdn.net&amp;_nc_cat=106&amp;_nc_oc=Q6cZ2gEl-oHas2J9KzOHko_43x1cQh3Bwaz22e2dO-AruSXNG6Mk8G8kbDtt1NHsLAqcfP1JH2WQNDlwBklJJR9N5UOj&amp;_nc_ohc=OPvcDw3-wAgQ7kNvwHNdVwX&amp;_nc_gid=9b2pYDhPsGNvRR5wYyQtPQ&amp;edm=AI-cjbYBAAAA&amp;ccb=7-5&amp;oh=00_Af2wUCdEBwt9Tfks_c2UZbeEusFrQfigwG4pduhBwMAgkw&amp;oe=69D8A983&amp;_nc_sid=0985b0</t>
  </si>
  <si>
    <t>deiagomes70jp</t>
  </si>
  <si>
    <t>Que a morte desse bichinho não fique em vão!!!😢</t>
  </si>
  <si>
    <t>24/04/2024, 17:45:08</t>
  </si>
  <si>
    <t>https://www.instagram.com/deiagomes70jp</t>
  </si>
  <si>
    <t>https://instagram.fcgh5-2.fna.fbcdn.net/v/t51.2885-19/244181896_357365189255979_7211121342036595853_n.jpg?stp=dst-jpg_s150x150_tt6&amp;efg=eyJ2ZW5jb2RlX3RhZyI6InByb2ZpbGVfcGljLmRqYW5nby4xMDgwLmMyIn0&amp;_nc_ht=instagram.fcgh5-2.fna.fbcdn.net&amp;_nc_cat=103&amp;_nc_oc=Q6cZ2gGAt7QwUj9jiRd5qN7a5UvV4DdNai2ePmgKeHa7SqzkYc8-T-1PTE46xYv6aatYvOF44LF5tie6zA0oxfsOD7PK&amp;_nc_ohc=PW1X4NWN4HQQ7kNvwHA3QD9&amp;_nc_gid=VHs_czwrLSEQfjsk4SA8KA&amp;edm=AI-cjbYBAAAA&amp;ccb=7-5&amp;oh=00_Af2ojuMwy2xoYSqITatcIridJ34KySkKJxMZJbqABYlLGw&amp;oe=69D8B4C7&amp;_nc_sid=0985b0</t>
  </si>
  <si>
    <t>ricardocastro.o.f.i.c.i.a.l</t>
  </si>
  <si>
    <t>Se é Bolsonaro manda arrancar o couro do cachorro  para fazer tapete. E ainda diz: E aí?  Não sou veterinário.</t>
  </si>
  <si>
    <t>24/04/2024, 19:39:51</t>
  </si>
  <si>
    <t>https://www.instagram.com/ricardocastro.o.f.i.c.i.a.l</t>
  </si>
  <si>
    <t>https://instagram.fcgh5-2.fna.fbcdn.net/v/t51.2885-19/60496594_442162226339341_1541130000625827840_n.jpg?stp=dst-jpg_s150x150_tt6&amp;efg=eyJ2ZW5jb2RlX3RhZyI6InByb2ZpbGVfcGljLmRqYW5nby40NDguYzIifQ&amp;_nc_ht=instagram.fcgh5-2.fna.fbcdn.net&amp;_nc_cat=101&amp;_nc_oc=Q6cZ2gGAt7QwUj9jiRd5qN7a5UvV4DdNai2ePmgKeHa7SqzkYc8-T-1PTE46xYv6aatYvOF44LF5tie6zA0oxfsOD7PK&amp;_nc_ohc=qgmjrmRp-tkQ7kNvwHSkc5-&amp;_nc_gid=VHs_czwrLSEQfjsk4SA8KA&amp;edm=AI-cjbYBAAAA&amp;ccb=7-5&amp;oh=00_Af0N7-F6QjsEL65TRtwtfzSkTqU67UuiZIAX8cuJ1rgEdw&amp;oe=69D8B77E&amp;_nc_sid=0985b0</t>
  </si>
  <si>
    <t>babibarbie30</t>
  </si>
  <si>
    <t>Precisamos de leis sérias sobre transporte de pets! Pagamos caro e não temos segurança nem dignidade! A cia aérea que fizer voos pet friendly vai ficar milionária! Não é possível que não tenham visão 😢</t>
  </si>
  <si>
    <t>24/04/2024, 21:19:43</t>
  </si>
  <si>
    <t>https://www.instagram.com/babibarbie30</t>
  </si>
  <si>
    <t>https://instagram.fcgh5-1.fna.fbcdn.net/v/t51.2885-19/368480590_673842807641050_4554190149982640965_n.jpg?stp=dst-jpg_s150x150_tt6&amp;efg=eyJ2ZW5jb2RlX3RhZyI6InByb2ZpbGVfcGljLmRqYW5nby4xMDgwLmMyIn0&amp;_nc_ht=instagram.fcgh5-1.fna.fbcdn.net&amp;_nc_cat=110&amp;_nc_oc=Q6cZ2gGAt7QwUj9jiRd5qN7a5UvV4DdNai2ePmgKeHa7SqzkYc8-T-1PTE46xYv6aatYvOF44LF5tie6zA0oxfsOD7PK&amp;_nc_ohc=NHyutphOdOUQ7kNvwGoQsrI&amp;_nc_gid=VHs_czwrLSEQfjsk4SA8KA&amp;edm=AI-cjbYBAAAA&amp;ccb=7-5&amp;oh=00_Af30QSXIHy7VERBTe7sNmabzF-W4cgGfqyoiqklxZ9KTFA&amp;oe=69D8AF47&amp;_nc_sid=0985b0</t>
  </si>
  <si>
    <t>smolskirodrigues</t>
  </si>
  <si>
    <t>04/05/2024, 21:49:38</t>
  </si>
  <si>
    <t>https://www.instagram.com/smolskirodrigues</t>
  </si>
  <si>
    <t>https://instagram.fcgh5-1.fna.fbcdn.net/v/t51.2885-19/241978331_181861160696789_4953995488775534337_n.jpg?stp=dst-jpg_s150x150_tt6&amp;efg=eyJ2ZW5jb2RlX3RhZyI6InByb2ZpbGVfcGljLmRqYW5nby4zMzYuYzIifQ&amp;_nc_ht=instagram.fcgh5-1.fna.fbcdn.net&amp;_nc_cat=105&amp;_nc_oc=Q6cZ2gHc45tOYYhpVoJcofzHzixt1OR3cxvF_PF8A5KMqyed9fQZd5NckSVq3J45ZQmFrblgXudbmrLT-e6zZYIZCWTO&amp;_nc_ohc=sLsJN_Cge6UQ7kNvwEetNDz&amp;_nc_gid=P7AXy2nly8n_i1iv4Xp-HA&amp;edm=AI-cjbYBAAAA&amp;ccb=7-5&amp;oh=00_Af1fJpfbcpwiVLrFYuvnyxAEckloyIuM7ijqCQhxkKzAHA&amp;oe=69D88BDF&amp;_nc_sid=0985b0</t>
  </si>
  <si>
    <t>Que emoção ver pessoas de bom coração ajudando nossos filhos de quatro patas 🐾! Força Rio Grande do Sul! Estamos com vocês! Eu ajudei nas cozinhas solidárias do MTST e MST, que fazem um trabalho lindo 😍de amor ao próximo</t>
  </si>
  <si>
    <t>07/05/2024, 18:51:00</t>
  </si>
  <si>
    <t>https://instagram.fcgh5-1.fna.fbcdn.net/v/t51.82787-19/629192159_18552724234054502_2673385030381474984_n.jpg?stp=dst-jpg_s150x150_tt6&amp;efg=eyJ2ZW5jb2RlX3RhZyI6InByb2ZpbGVfcGljLmRqYW5nby4xMDgwLmMyIn0&amp;_nc_ht=instagram.fcgh5-1.fna.fbcdn.net&amp;_nc_cat=102&amp;_nc_oc=Q6cZ2gHgsNJllyUtboK1cTaaITMYTa8qsLKDqi61r0a2t1mj8pyAnkleIER7TWsqQI1KYtSIEFIoizcjkwD0jVeNiBsy&amp;_nc_ohc=G456tT05DO0Q7kNvwHWuJKr&amp;_nc_gid=idLLEZYsl5QCmacpGaQveg&amp;edm=AI-cjbYBAAAA&amp;ccb=7-5&amp;oh=00_Af2aFwCm9aguvKDLoUCPg4Gyp2MO8xWQWaXoAunrT1D6vA&amp;oe=69D86699&amp;_nc_sid=0985b0</t>
  </si>
  <si>
    <t>tatylimavlogs</t>
  </si>
  <si>
    <t>Que emoção ate um pit bull bravo, pedindo ajuda.
😭😭😭 Deus abençoe os socorristas🙏🏻🙏🏻</t>
  </si>
  <si>
    <t>09/05/2024, 15:43:54</t>
  </si>
  <si>
    <t>https://www.instagram.com/tatylimavlogs</t>
  </si>
  <si>
    <t>https://instagram.fcgh5-1.fna.fbcdn.net/v/t51.82787-19/549704257_18296693710271954_5685349000800049019_n.jpg?stp=dst-jpg_s150x150_tt6&amp;efg=eyJ2ZW5jb2RlX3RhZyI6InByb2ZpbGVfcGljLmRqYW5nby4xMDgwLmMyIn0&amp;_nc_ht=instagram.fcgh5-1.fna.fbcdn.net&amp;_nc_cat=102&amp;_nc_oc=Q6cZ2gHgsNJllyUtboK1cTaaITMYTa8qsLKDqi61r0a2t1mj8pyAnkleIER7TWsqQI1KYtSIEFIoizcjkwD0jVeNiBsy&amp;_nc_ohc=9MiGhbosBCAQ7kNvwHzMIBc&amp;_nc_gid=idLLEZYsl5QCmacpGaQveg&amp;edm=AI-cjbYBAAAA&amp;ccb=7-5&amp;oh=00_Af1Qzu-lh9N3-Hdg9s8CLZ6O8Go_VPrXwsZn5cLRoUMiPg&amp;oe=69D86811&amp;_nc_sid=0985b0</t>
  </si>
  <si>
    <t>mariadelourdeslumiar</t>
  </si>
  <si>
    <t>09/05/2024, 17:24:42</t>
  </si>
  <si>
    <t>https://www.instagram.com/mariadelourdeslumiar</t>
  </si>
  <si>
    <t>https://instagram.fcgh5-2.fna.fbcdn.net/v/t51.2885-19/465199422_1273080380531682_8873212048422628480_n.jpg?stp=dst-jpg_s150x150_tt6&amp;efg=eyJ2ZW5jb2RlX3RhZyI6InByb2ZpbGVfcGljLmRqYW5nby4xMDgwLmMyIn0&amp;_nc_ht=instagram.fcgh5-2.fna.fbcdn.net&amp;_nc_cat=106&amp;_nc_oc=Q6cZ2gHykh32ur7tq2WTuy-PtHWOlBL7xSPJUMV5XVZtKbfVG-xX9UxJbDIOYim84drF13wDcZiiGnxTMUER_ysX6Nb-&amp;_nc_ohc=mMq7xqrPYnEQ7kNvwEcKzYw&amp;_nc_gid=Hp52Fbny13P50Np1SN2TzQ&amp;edm=AI-cjbYBAAAA&amp;ccb=7-5&amp;oh=00_Af2aosjjlyaTEiKXKuYatZ4AwkgI__VwS8k_nz6XpbdxPg&amp;oe=69D86A18&amp;_nc_sid=0985b0</t>
  </si>
  <si>
    <t>claudia.desousa_</t>
  </si>
  <si>
    <t>Agradeço a divulgação do meu trabalho ❤️</t>
  </si>
  <si>
    <t>10/06/2024, 22:45:08</t>
  </si>
  <si>
    <t>https://www.instagram.com/claudia.desousa_</t>
  </si>
  <si>
    <t>https://instagram.fcgh5-1.fna.fbcdn.net/v/t51.82787-19/648622047_18583132471012186_393751498461178648_n.jpg?stp=dst-jpg_s150x150_tt6&amp;efg=eyJ2ZW5jb2RlX3RhZyI6InByb2ZpbGVfcGljLmRqYW5nby4xMDQxLmMyIn0&amp;_nc_ht=instagram.fcgh5-1.fna.fbcdn.net&amp;_nc_cat=110&amp;_nc_oc=Q6cZ2gHvwNlfR6KNPTBgnrkt-8HXSe1gfj26ajiWyFj5iE6xXgiCyeErRGL8DVWx4YY-6hXSnk2_ckXMV7Gal5QyVleT&amp;_nc_ohc=-eHvXsbnXEMQ7kNvwG1Ea9a&amp;_nc_gid=a2GeZz9X92yWi0B4KF_8_A&amp;edm=AI-cjbYBAAAA&amp;ccb=7-5&amp;oh=00_Af3SM7rOp2rDxDn2oQT5NgBaOehPd2pOf9Epl-dVQHzHCQ&amp;oe=69D88B9F&amp;_nc_sid=0985b0</t>
  </si>
  <si>
    <t>Parabéns 👏🏿</t>
  </si>
  <si>
    <t>10/06/2024, 23:34:28</t>
  </si>
  <si>
    <t>https://instagram.fcgh5-1.fna.fbcdn.net/v/t51.82787-19/629192159_18552724234054502_2673385030381474984_n.jpg?stp=dst-jpg_s150x150_tt6&amp;efg=eyJ2ZW5jb2RlX3RhZyI6InByb2ZpbGVfcGljLmRqYW5nby4xMDgwLmMyIn0&amp;_nc_ht=instagram.fcgh5-1.fna.fbcdn.net&amp;_nc_cat=102&amp;_nc_oc=Q6cZ2gHvwNlfR6KNPTBgnrkt-8HXSe1gfj26ajiWyFj5iE6xXgiCyeErRGL8DVWx4YY-6hXSnk2_ckXMV7Gal5QyVleT&amp;_nc_ohc=G456tT05DO0Q7kNvwHWuJKr&amp;_nc_gid=a2GeZz9X92yWi0B4KF_8_A&amp;edm=AI-cjbYBAAAA&amp;ccb=7-5&amp;oh=00_Af3kgZca09SmqQu0i6iRaec0UGIyjS-gEg_B1IGaO7ZMug&amp;oe=69D86699&amp;_nc_sid=0985b0</t>
  </si>
  <si>
    <t>Inspiração lindo 😍</t>
  </si>
  <si>
    <t>26/07/2024, 21:47:31</t>
  </si>
  <si>
    <t>https://instagram.fcgh5-1.fna.fbcdn.net/v/t51.82787-19/629192159_18552724234054502_2673385030381474984_n.jpg?stp=dst-jpg_s150x150_tt6&amp;efg=eyJ2ZW5jb2RlX3RhZyI6InByb2ZpbGVfcGljLmRqYW5nby4xMDgwLmMyIn0&amp;_nc_ht=instagram.fcgh5-1.fna.fbcdn.net&amp;_nc_cat=102&amp;_nc_oc=Q6cZ2gGF0P7vUqsURFlnbg6KCTh0-_IBBb86kUm3dgY9DVExdBCtO7sXATsyuAcqejh6I5cP7GvCjjjKrVck5CuwUv8x&amp;_nc_ohc=G456tT05DO0Q7kNvwHWuJKr&amp;_nc_gid=vHKOZsnbPjBvYRGOskBQQg&amp;edm=AI-cjbYBAAAA&amp;ccb=7-5&amp;oh=00_Af0SM_zvLDFMK5PZdm1JD2g0uo0-kOwqb-gH-hovGjKGAA&amp;oe=69D86699&amp;_nc_sid=0985b0</t>
  </si>
  <si>
    <t>consultoriabrasilaalemanha</t>
  </si>
  <si>
    <t>Parabéns a todos os súditos de Elen Chourch.</t>
  </si>
  <si>
    <t>31/05/2020, 14:26:40</t>
  </si>
  <si>
    <t>https://www.instagram.com/consultoriabrasilaalemanha</t>
  </si>
  <si>
    <t>https://instagram.fcgh5-2.fna.fbcdn.net/v/t51.2885-19/26869629_1630059367079131_322936632481153024_n.jpg?stp=dst-jpg_s150x150_tt6&amp;efg=eyJ2ZW5jb2RlX3RhZyI6InByb2ZpbGVfcGljLmRqYW5nby4xNjUuYzIifQ&amp;_nc_ht=instagram.fcgh5-2.fna.fbcdn.net&amp;_nc_cat=107&amp;_nc_oc=Q6cZ2gGtSUAJ1Z49Fp_Xkuzbav6gCjOPtF5RqfjzMCr4OlyvZefBuaVBRC0_fkPrxC-D5A-cA2vkXUN-fwcYDKAnNX-m&amp;_nc_ohc=wcagjYgdjcAQ7kNvwFS52hN&amp;_nc_gid=ZugQAkSFK1nMEO799BWPgw&amp;edm=AI-cjbYBAAAA&amp;ccb=7-5&amp;oh=00_Af15CYUySbEkz9SWlsJtQr_0Newe-HUK5398ytSBxiEoRg&amp;oe=69D8A4EA&amp;_nc_sid=0985b0</t>
  </si>
  <si>
    <t>https://pt.wikipedia.org/wiki/Ellen_Church</t>
  </si>
  <si>
    <t>31/05/2020, 14:27:51</t>
  </si>
  <si>
    <t>helloween7300am</t>
  </si>
  <si>
    <t>Promote it on @vevomusic.usa 💯</t>
  </si>
  <si>
    <t>18/02/2022, 18:48:05</t>
  </si>
  <si>
    <t>https://www.instagram.com/helloween7300am</t>
  </si>
  <si>
    <t>https://instagram.fcgh5-1.fna.fbcdn.net/v/t51.2885-19/271538192_464651131876641_8450514789495141920_n.jpg?stp=dst-jpg_s150x150_tt6&amp;efg=eyJ2ZW5jb2RlX3RhZyI6InByb2ZpbGVfcGljLmRqYW5nby43MjAuYzIifQ&amp;_nc_ht=instagram.fcgh5-1.fna.fbcdn.net&amp;_nc_cat=109&amp;_nc_oc=Q6cZ2gE6S8bRUZ5KpjXKM12f5dWd_7hqFbTE4m54YB3rar7_wgqDvAEWZbmxmwZpJqLdMBaszBG_UQJu1tau4tybyUeN&amp;_nc_ohc=6LhJRnpyoqkQ7kNvwFg1Kpu&amp;_nc_gid=le7YiasRADDRtwX1CncnPA&amp;edm=AI-cjbYBAAAA&amp;ccb=7-5&amp;oh=00_Af1DKDKQ2aRpzkxDEFNpd8Och91MS29gFZWx-3mBq7uv_A&amp;oe=69D8CB8F&amp;_nc_sid=0985b0</t>
  </si>
  <si>
    <t>https://instagram.fcgh5-1.fna.fbcdn.net/v/t51.2885-19/271538192_464651131876641_8450514789495141920_n.jpg?stp=dst-jpg_s150x150_tt6&amp;efg=eyJ2ZW5jb2RlX3RhZyI6InByb2ZpbGVfcGljLmRqYW5nby43MjAuYzIifQ&amp;_nc_ht=instagram.fcgh5-1.fna.fbcdn.net&amp;_nc_cat=109&amp;_nc_oc=Q6cZ2gEIN4vbLC-KZnIOYnvHALWm5UkRnXKRMOPu9ySX3N-G2qiHLNGmHGxMxe8HUBCoUchkZKg-6y4FvTgFSSl5jTDJ&amp;_nc_ohc=6LhJRnpyoqkQ7kNvwFg1Kpu&amp;_nc_gid=Me5bpPPgXjZ7FruW6aVqPg&amp;edm=AI-cjbYBAAAA&amp;ccb=7-5&amp;oh=00_Af0f_-IzRBWpcsxJ-lx2URnQMLlYePYF3iol4KeVDDr3Ug&amp;oe=69D8CB8F&amp;_nc_sid=0985b0</t>
  </si>
  <si>
    <t>⠀
#familia #aviacao #aviation #covid19 #aviacaoexecutiva #executiveaviation #linhaaerea #ciaaerea #airline #aviacaogeral #aviacaoagricola #live #youtube #safetuforfree #flysafe #flightsafety #formacao #instrucao #tripulacao #piloto #anac #faa #easa #aovivo #fiqueemcasa</t>
  </si>
  <si>
    <t>15/05/2020, 23:59:42</t>
  </si>
  <si>
    <t>https://instagram.fcgh5-2.fna.fbcdn.net/v/t51.82787-19/574233390_18393115045123935_8706979050179224508_n.jpg?stp=dst-jpg_s150x150_tt6&amp;efg=eyJ2ZW5jb2RlX3RhZyI6InByb2ZpbGVfcGljLmRqYW5nby4xMDgwLmMyIn0&amp;_nc_ht=instagram.fcgh5-2.fna.fbcdn.net&amp;_nc_cat=103&amp;_nc_oc=Q6cZ2gGC7O0cvSbnt3Gr7WuBgxMSz2nVxtp1_AHF0IU8RFCUxD9CBeconjVXQkmJyWN9JinXO6Jwh2ADXEZa5FZpj2Fc&amp;_nc_ohc=DthU4rOQI7wQ7kNvwFUA_tX&amp;_nc_gid=i55MOFVEGIbZIUvVtYia3w&amp;edm=AI-cjbYBAAAA&amp;ccb=7-5&amp;oh=00_Af3_eU6mgxXpt1eCHsiMYCpOwHdwj9HOaSuUKJV3hC_fmA&amp;oe=69D8BA9A&amp;_nc_sid=0985b0</t>
  </si>
  <si>
    <t>🌷🌷🌷🌷🌻🌻🌷</t>
  </si>
  <si>
    <t>16/05/2020, 21:59:18</t>
  </si>
  <si>
    <t>https://instagram.fcgh5-1.fna.fbcdn.net/v/t51.2885-19/103571370_1414488935406081_3261486609947470384_n.jpg?stp=dst-jpg_s150x150_tt6&amp;efg=eyJ2ZW5jb2RlX3RhZyI6InByb2ZpbGVfcGljLmRqYW5nby44NTMuYzIifQ&amp;_nc_ht=instagram.fcgh5-1.fna.fbcdn.net&amp;_nc_cat=109&amp;_nc_oc=Q6cZ2gGC7O0cvSbnt3Gr7WuBgxMSz2nVxtp1_AHF0IU8RFCUxD9CBeconjVXQkmJyWN9JinXO6Jwh2ADXEZa5FZpj2Fc&amp;_nc_ohc=Vc1g64QH7h4Q7kNvwFFm9KP&amp;_nc_gid=i55MOFVEGIbZIUvVtYia3w&amp;edm=AI-cjbYBAAAA&amp;ccb=7-5&amp;oh=00_Af3rIANMXStH0R0yzV3_3O71zA-62YGahPVxp-Z4ITG9Rw&amp;oe=69D8CBA9&amp;_nc_sid=0985b0</t>
  </si>
  <si>
    <t>⠀
#saudemental #dicadeouro #educação #linkedin</t>
  </si>
  <si>
    <t>15/05/2020, 22:58:08</t>
  </si>
  <si>
    <t>https://instagram.fcgh5-2.fna.fbcdn.net/v/t51.82787-19/574233390_18393115045123935_8706979050179224508_n.jpg?stp=dst-jpg_s150x150_tt6&amp;efg=eyJ2ZW5jb2RlX3RhZyI6InByb2ZpbGVfcGljLmRqYW5nby4xMDgwLmMyIn0&amp;_nc_ht=instagram.fcgh5-2.fna.fbcdn.net&amp;_nc_cat=103&amp;_nc_oc=Q6cZ2gHSLMUI48WFAQ2ORxRrfDOvl6Uz_Pm9QwtSz51r6f5_9G4X8lgbTmzf2WTjXZDp9fICFjS8nDNmnA-vcTNgwzvB&amp;_nc_ohc=DthU4rOQI7wQ7kNvwFUA_tX&amp;_nc_gid=g9Pjlj4TpUvo2dfRrIIi6w&amp;edm=AI-cjbYBAAAA&amp;ccb=7-5&amp;oh=00_Af1pLhm3G80o9Y6efqTPXBuy8jnvH4SF0-833-7YDW1XUg&amp;oe=69D8BA9A&amp;_nc_sid=0985b0</t>
  </si>
  <si>
    <t>genilson_coutinho</t>
  </si>
  <si>
    <t>Queridos 
Muito obrigado!!❤️❤️</t>
  </si>
  <si>
    <t>26/06/2020, 22:31:02</t>
  </si>
  <si>
    <t>https://www.instagram.com/genilson_coutinho</t>
  </si>
  <si>
    <t>https://instagram.fcgh5-1.fna.fbcdn.net/v/t51.2885-19/464574805_559407050068269_124275823113856481_n.jpg?stp=dst-jpg_s150x150_tt6&amp;efg=eyJ2ZW5jb2RlX3RhZyI6InByb2ZpbGVfcGljLmRqYW5nby4xMDgwLmMyIn0&amp;_nc_ht=instagram.fcgh5-1.fna.fbcdn.net&amp;_nc_cat=109&amp;_nc_oc=Q6cZ2gHbE1NY-ZInt9V2u4NimF3rycmpxDb3Y_6DQFV4IvkNjq98R8TdN8kLW7kjzpOGk6-lXwpdwIWUpYGokBgeDGc2&amp;_nc_ohc=Nn-6LtgDCesQ7kNvwFVmgFT&amp;_nc_gid=4VOJdXquI73fQ7ku5WpNtw&amp;edm=AI-cjbYBAAAA&amp;ccb=7-5&amp;oh=00_Af2ABfq-dKa2C_dv4jiLsX2blQhcLpclA85vepZKfeRBbQ&amp;oe=69D8AC97&amp;_nc_sid=0985b0</t>
  </si>
  <si>
    <t>cherryelegancy</t>
  </si>
  <si>
    <t>💯💯</t>
  </si>
  <si>
    <t>26/06/2020, 22:59:00</t>
  </si>
  <si>
    <t>https://www.instagram.com/cherryelegancy</t>
  </si>
  <si>
    <t>https://instagram.fcgh5-2.fna.fbcdn.net/v/t51.2885-19/376263459_616998950330262_495681514208856320_n.jpg?stp=dst-jpg_s150x150_tt6&amp;efg=eyJ2ZW5jb2RlX3RhZyI6InByb2ZpbGVfcGljLmRqYW5nby44MjUuYzIifQ&amp;_nc_ht=instagram.fcgh5-2.fna.fbcdn.net&amp;_nc_cat=106&amp;_nc_oc=Q6cZ2gEJvZ8BQb5pb4-osjAHIBlXF_TacJRZZ8qCkuEo_H_m1KVgVU-_o6y53FZgGaxlAAayo_26CkP9-TNbhhFJs3tH&amp;_nc_ohc=A6sfyvH_Y_EQ7kNvwHDykhU&amp;_nc_gid=CpR7i8VUK3_rKfbPd_0xcw&amp;edm=AI-cjbYBAAAA&amp;ccb=7-5&amp;oh=00_Af3xn9hshb5jcALLd0Tjk0bE5Z4F5F_rdSjIaTmo4NlrJw&amp;oe=69D8C68B&amp;_nc_sid=0985b0</t>
  </si>
  <si>
    <t>catsbrooks97</t>
  </si>
  <si>
    <t>stunning shot 🤗</t>
  </si>
  <si>
    <t>26/06/2020, 17:37:49</t>
  </si>
  <si>
    <t>https://www.instagram.com/catsbrooks97</t>
  </si>
  <si>
    <t>https://instagram.fcgh5-1.fna.fbcdn.net/v/t51.82787-19/608233050_18556119154009232_3463568250961834236_n.jpg?stp=dst-jpg_s150x150_tt6&amp;efg=eyJ2ZW5jb2RlX3RhZyI6InByb2ZpbGVfcGljLmRqYW5nby4xMDgwLmMyIn0&amp;_nc_ht=instagram.fcgh5-1.fna.fbcdn.net&amp;_nc_cat=108&amp;_nc_oc=Q6cZ2gHii73v_Dtl3mOtIJJe0wTchlcFyjcr2ekoAzlWxS9tjAs78EbzC5qZQxi66h9VwwS5NvYqd8L-jmhtdejHv6jE&amp;_nc_ohc=qH1s8ywU-nEQ7kNvwEH89zm&amp;_nc_gid=l2KtWvYMmSKzUrbejAOHLg&amp;edm=AI-cjbYBAAAA&amp;ccb=7-5&amp;oh=00_Af3PLuH9l7UnlgsRxSJFUjVUjoSgzIAduDks9CCb0E5KZw&amp;oe=69D8A8B4&amp;_nc_sid=0985b0</t>
  </si>
  <si>
    <t>phdecoracaohoteleira</t>
  </si>
  <si>
    <t>Muito bacana!!! Parabéns LATAN!!! Atitude como essa, como brasileiros nos sentimos muito orgulhosos.</t>
  </si>
  <si>
    <t>04/04/2022, 21:05:55</t>
  </si>
  <si>
    <t>https://www.instagram.com/phdecoracaohoteleira</t>
  </si>
  <si>
    <t>https://instagram.fcgh5-1.fna.fbcdn.net/v/t51.2885-19/116861170_782739785802353_2542026573385343106_n.jpg?stp=dst-jpg_s150x150_tt6&amp;efg=eyJ2ZW5jb2RlX3RhZyI6InByb2ZpbGVfcGljLmRqYW5nby44NjAuYzIifQ&amp;_nc_ht=instagram.fcgh5-1.fna.fbcdn.net&amp;_nc_cat=105&amp;_nc_oc=Q6cZ2gGnQU24vAgeRe_d8W9egN_FtGlLPGBzhluxvQrD-E_5EV8czHKuwXQwqXueWA25R57Nq78HVhQhriDi-uc4Vgn_&amp;_nc_ohc=qi8sEIGp-r4Q7kNvwFBAatT&amp;_nc_gid=XuN0YP35dR2mgxLkAam8Fg&amp;edm=AI-cjbYBAAAA&amp;ccb=7-5&amp;oh=00_Af1HT_GNHiKLBueg4X5YXX_iPCHmZjAvcGnbXLAPMMAUfg&amp;oe=69D8C9CA&amp;_nc_sid=0985b0</t>
  </si>
  <si>
    <t>midiaconsulte</t>
  </si>
  <si>
    <t>21/06/2020, 14:07:56</t>
  </si>
  <si>
    <t>https://www.instagram.com/midiaconsulte</t>
  </si>
  <si>
    <t>https://instagram.fcgh5-2.fna.fbcdn.net/v/t51.82787-19/539255623_18385999264124964_1853617488681232574_n.jpg?stp=dst-jpg_s150x150_tt6&amp;efg=eyJ2ZW5jb2RlX3RhZyI6InByb2ZpbGVfcGljLmRqYW5nby4xMDgwLmMyIn0&amp;_nc_ht=instagram.fcgh5-2.fna.fbcdn.net&amp;_nc_cat=100&amp;_nc_oc=Q6cZ2gGNYaf3yHNH9a9l1rhOL2DBMxnbsQRjBAXObe5AAkfoz3lEydUo12TDwrl92zHibbRBVfHgKQ5oUtaS8-yIEjRX&amp;_nc_ohc=P6uXwsH8gOUQ7kNvwHrSbYV&amp;_nc_gid=QFRX4OjzMFTKU-uIhQWhZQ&amp;edm=AI-cjbYBAAAA&amp;ccb=7-5&amp;oh=00_Af1DAyIFcSmm2bl9Wg_bKjMWO0whamQFmVnS0zbmpXtQ3g&amp;oe=69D8A114&amp;_nc_sid=0985b0</t>
  </si>
  <si>
    <t>gigimartinofficial</t>
  </si>
  <si>
    <t>Linda</t>
  </si>
  <si>
    <t>25/03/2022, 11:09:13</t>
  </si>
  <si>
    <t>https://www.instagram.com/gigimartinofficial</t>
  </si>
  <si>
    <t>https://instagram.fcgh5-2.fna.fbcdn.net/v/t51.2885-19/460289013_2054121565018003_3843678662519696877_n.jpg?stp=dst-jpg_s150x150_tt6&amp;efg=eyJ2ZW5jb2RlX3RhZyI6InByb2ZpbGVfcGljLmRqYW5nby42ODIuYzIifQ&amp;_nc_ht=instagram.fcgh5-2.fna.fbcdn.net&amp;_nc_cat=107&amp;_nc_oc=Q6cZ2gGjv4h3_xDc15SZFJb3rwT086U-k2oLNfJBPsu-X56nZ5Sj2QJhwnt9IbVEd7ITGXm65G4lzYffpDFZw8pt007g&amp;_nc_ohc=Apc7pn367mUQ7kNvwH2Fjk0&amp;_nc_gid=jH6jt7jzm1iJU0ToeiZIqQ&amp;edm=AI-cjbYBAAAA&amp;ccb=7-5&amp;oh=00_Af2c1F5IovuRFQjKbVuauKr0nCCuyCrXqT_KAMfHzdynLA&amp;oe=69D8C10B&amp;_nc_sid=0985b0</t>
  </si>
  <si>
    <t>andreas_karolidis48</t>
  </si>
  <si>
    <t>Amazing 😍 check out &amp; sub my YouTube cooking Channel 👨‍🍳</t>
  </si>
  <si>
    <t>12/06/2020, 18:52:41</t>
  </si>
  <si>
    <t>https://www.instagram.com/andreas_karolidis48</t>
  </si>
  <si>
    <t>https://instagram.fcgh5-1.fna.fbcdn.net/v/t51.82787-19/645818993_18087740894135313_6363437836291864431_n.jpg?stp=dst-jpg_s150x150_tt6&amp;efg=eyJ2ZW5jb2RlX3RhZyI6InByb2ZpbGVfcGljLmRqYW5nby4xMDgwLmMyIn0&amp;_nc_ht=instagram.fcgh5-1.fna.fbcdn.net&amp;_nc_cat=109&amp;_nc_oc=Q6cZ2gFLWGacWoo2KNr93GARSAhyOSv2ROVqOS-HDW4DvYg3et0MnDb-OBP52DoCFpem-T8aE-MJvlrovP-xy0J1S2Ed&amp;_nc_ohc=DkMhOghyF1UQ7kNvwHuVmXw&amp;_nc_gid=eePl45rMCHvTlYnFKfCwmQ&amp;edm=AI-cjbYBAAAA&amp;ccb=7-5&amp;oh=00_Af3HGWJE5jGIBI85du3cLXzwZQs3oi4ChJgX3KX2KqWR8g&amp;oe=69D8AB9C&amp;_nc_sid=0985b0</t>
  </si>
  <si>
    <t>drifterofsucess</t>
  </si>
  <si>
    <t>Amazing post!!</t>
  </si>
  <si>
    <t>12/06/2020, 18:17:47</t>
  </si>
  <si>
    <t>https://www.instagram.com/drifterofsucess</t>
  </si>
  <si>
    <t>https://instagram.fcgh5-1.fna.fbcdn.net/v/t51.2885-19/116219426_633004474005056_6061991350963517048_n.jpg?stp=dst-jpg_s150x150_tt6&amp;efg=eyJ2ZW5jb2RlX3RhZyI6InByb2ZpbGVfcGljLmRqYW5nby42OTMuYzIifQ&amp;_nc_ht=instagram.fcgh5-1.fna.fbcdn.net&amp;_nc_cat=108&amp;_nc_oc=Q6cZ2gGGLXHIlkUL0ILBf_9Z86K5sFHL1-wzc-BkVe1RwJlRzVAtZHwXX8UX84QUyrVC7BrRqAoWSP8eyTzBI7C_X06_&amp;_nc_ohc=WqMa2GrzHaQQ7kNvwG8gpra&amp;_nc_gid=tAqyOIGTN686uUPH4qFOzw&amp;edm=AI-cjbYBAAAA&amp;ccb=7-5&amp;oh=00_Af2Qaj_jRbTYpMbONqxSuUM7LVPQYi6FoAyonauIMIWWoA&amp;oe=69D8CE0B&amp;_nc_sid=0985b0</t>
  </si>
  <si>
    <t>liketourbr</t>
  </si>
  <si>
    <t>Que notícia boa!!!!</t>
  </si>
  <si>
    <t>12/06/2020, 17:55:21</t>
  </si>
  <si>
    <t>https://www.instagram.com/liketourbr</t>
  </si>
  <si>
    <t>https://instagram.fcgh5-1.fna.fbcdn.net/v/t51.2885-19/14574164_242684062826432_1097100046588968960_a.jpg?stp=dst-jpg_s150x150_tt6&amp;efg=eyJ2ZW5jb2RlX3RhZyI6InByb2ZpbGVfcGljLmRqYW5nby45NjAuYzIifQ&amp;_nc_ht=instagram.fcgh5-1.fna.fbcdn.net&amp;_nc_cat=108&amp;_nc_oc=Q6cZ2gGnkPkCFXzGEv3JavGpw4Lbzij2_H_S5JB1EMRpJGRA9mCtVNPsiEFHws2wqAvsTmg9c8SmitLFSrZPAMJ53zwe&amp;_nc_ohc=WO86tPkDdjEQ7kNvwHqGvf7&amp;_nc_gid=juv4XDxd3r576qYeX1_xdw&amp;edm=AI-cjbYBAAAA&amp;ccb=7-5&amp;oh=00_Af04lig-1g06Qyad4xSa8qx6r8XL7TTWjz3mZhHhHQV92g&amp;oe=69D8B9D0&amp;_nc_sid=0985b0</t>
  </si>
  <si>
    <t>icaro.dvrans</t>
  </si>
  <si>
    <t>@arthurtorreao 😍</t>
  </si>
  <si>
    <t>10/07/2020, 19:18:56</t>
  </si>
  <si>
    <t>https://www.instagram.com/icaro.dvrans</t>
  </si>
  <si>
    <t>https://instagram.fcgh5-1.fna.fbcdn.net/v/t51.82787-19/623930006_18557384833041453_5678217299932323949_n.jpg?stp=dst-jpg_s150x150_tt6&amp;efg=eyJ2ZW5jb2RlX3RhZyI6InByb2ZpbGVfcGljLmRqYW5nby4xMDgwLmMyIn0&amp;_nc_ht=instagram.fcgh5-1.fna.fbcdn.net&amp;_nc_cat=109&amp;_nc_oc=Q6cZ2gHyKpBDv3jvli1guo19FF9eOv5Uvjerv1m3o1rlLo2wdp4Va1nrRQYoUX1BxJkRnOlwvgasNRISNpT97bMo15Nm&amp;_nc_ohc=qmloTcAa9JUQ7kNvwHhwUHY&amp;_nc_gid=A73x8NuKtbBB_REiyictCg&amp;edm=AI-cjbYBAAAA&amp;ccb=7-5&amp;oh=00_Af1W_HdkHoPyThmaqHtN5jVGcGX3uhDCk-QxxX58_t-dHQ&amp;oe=69D8B6D1&amp;_nc_sid=0985b0</t>
  </si>
  <si>
    <t>familia_e__</t>
  </si>
  <si>
    <t>11/07/2020, 16:20:51</t>
  </si>
  <si>
    <t>https://www.instagram.com/familia_e__</t>
  </si>
  <si>
    <t>https://instagram.ffor12-1.fna.fbcdn.net/v/t51.2885-19/573323465_1219825463302212_7278921664109726296_n.png?stp=dst-jpg_e0_s150x150_tt6&amp;efg=eyJ2ZW5jb2RlX3RhZyI6InByb2ZpbGVfcGljLmRqYW5nby4xNTAuYzIifQ&amp;_nc_ht=instagram.ffor12-1.fna.fbcdn.net&amp;_nc_cat=1&amp;_nc_oc=Q6cZ2gHXa523MBgzSHLFUNguUj4yySNPbyQFkvPyTWs7NPPQp73NQ0KYlKXoPUuASAwJJh1UlNwN0XBSrGLON947gkny&amp;_nc_ohc=a8xHEXzvkAIQ7kNvwEuuNcB&amp;_nc_gid=zp9dQrCUp60sakzHYFIO_g&amp;edm=ANct6CgBAAAA&amp;ccb=7-5&amp;ig_cache_key=YW5vbnltb3VzX3Byb2ZpbGVfcGlj.3-ccb7-5&amp;oh=00_Af3atdHTdqk0EweC_Vzn7FWf5jUy4ZJsBxW0sPQGS3z5wQ&amp;oe=69D8B26A&amp;_nc_sid=e9e035</t>
  </si>
  <si>
    <t>hotelgloria</t>
  </si>
  <si>
    <t>10/04/2022, 00:49:40</t>
  </si>
  <si>
    <t>https://www.instagram.com/hotelgloria</t>
  </si>
  <si>
    <t>https://instagram.fcgh5-1.fna.fbcdn.net/v/t51.82787-19/627392601_18511031833079606_1134071528311322820_n.jpg?stp=dst-jpg_s150x150_tt6&amp;efg=eyJ2ZW5jb2RlX3RhZyI6InByb2ZpbGVfcGljLmRqYW5nby45NzguYzIifQ&amp;_nc_ht=instagram.fcgh5-1.fna.fbcdn.net&amp;_nc_cat=102&amp;_nc_oc=Q6cZ2gFi-QIMk36cnNb-0kGfwmyXYHhlcnaC-nxeadMmT4ZyJIhMYrspxCeyZ9807QEDKw0tVorioYm2NUg-b8qBbvpQ&amp;_nc_ohc=ZCzRgT2zpQUQ7kNvwFm8-ps&amp;_nc_gid=lCtpoERrPSZrpBvEegv4Ew&amp;edm=AI-cjbYBAAAA&amp;ccb=7-5&amp;oh=00_Af1xEJG4lxxMr0cdRuYrLIhPeSn4yiTTI0nN7DGaurVM6Q&amp;oe=69D8B299&amp;_nc_sid=0985b0</t>
  </si>
  <si>
    <t>⠀
#viagem #travel #turismo #viajar #trip #brasil #ferias #praia #natureza #amoviajar #instatravel #viagens #viajarfazbem #photography #brazil #nature #viagemeturismo #love #fotografia #cruzeiro #travelgram #instagood #aventura #sol #bhfyp #fiqueemcasa #quarentena</t>
  </si>
  <si>
    <t>03/07/2020, 19:30:53</t>
  </si>
  <si>
    <t>https://instagram.fcgh5-2.fna.fbcdn.net/v/t51.82787-19/574233390_18393115045123935_8706979050179224508_n.jpg?stp=dst-jpg_s150x150_tt6&amp;efg=eyJ2ZW5jb2RlX3RhZyI6InByb2ZpbGVfcGljLmRqYW5nby4xMDgwLmMyIn0&amp;_nc_ht=instagram.fcgh5-2.fna.fbcdn.net&amp;_nc_cat=103&amp;_nc_oc=Q6cZ2gHIzudZI5hPbMPiGvw6ytgCH_-Af4NVWHRk9-WimasBHi8bSteJ7m5N9GyQM9czdM_-jrgLthYROLpZEsDk0koK&amp;_nc_ohc=DthU4rOQI7wQ7kNvwFUA_tX&amp;_nc_gid=X7qlTPT8dFDyjKxs1xR7ow&amp;edm=AI-cjbYBAAAA&amp;ccb=7-5&amp;oh=00_Af0idxHSZXEtF3uyahjK_rix9LTYfiwoPJNrDZmTZnk4GQ&amp;oe=69D8BA9A&amp;_nc_sid=0985b0</t>
  </si>
  <si>
    <t>abear.br</t>
  </si>
  <si>
    <t>@revistaembarque ✈❤</t>
  </si>
  <si>
    <t>06/07/2020, 18:46:28</t>
  </si>
  <si>
    <t>https://www.instagram.com/abear.br</t>
  </si>
  <si>
    <t>https://instagram.fcgh5-2.fna.fbcdn.net/v/t51.82787-19/539768353_18374557693183023_928163932253844156_n.jpg?stp=dst-jpg_s150x150_tt6&amp;efg=eyJ2ZW5jb2RlX3RhZyI6InByb2ZpbGVfcGljLmRqYW5nby4xMDgwLmMyIn0&amp;_nc_ht=instagram.fcgh5-2.fna.fbcdn.net&amp;_nc_cat=103&amp;_nc_oc=Q6cZ2gH3kVlX367cVdJyMyktRy9tOWfMLOZU6gk0wm5cEi0RsBOZxcGXzm9I4xilR5hnYfgXaH0jgWftMQp5nA0jWVf8&amp;_nc_ohc=dJ5m0atjeFgQ7kNvwFkdnU4&amp;_nc_gid=qnZgaviA68vVup4ANDuCgQ&amp;edm=AI-cjbYBAAAA&amp;ccb=7-5&amp;oh=00_Af1j4xpFgx0xtBXzeC_--ytWHVB5fAl2cvZHeFN_fxM-YA&amp;oe=69D8ABA6&amp;_nc_sid=0985b0</t>
  </si>
  <si>
    <t>itsdanielitho</t>
  </si>
  <si>
    <t>Insane interior👌💪😊🔝👍Hope you can find some time to check out my page; thanks</t>
  </si>
  <si>
    <t>18/07/2020, 13:34:11</t>
  </si>
  <si>
    <t>https://www.instagram.com/itsdanielitho</t>
  </si>
  <si>
    <t>https://instagram.fcgh5-2.fna.fbcdn.net/v/t51.82787-19/579506613_18386714326179448_1187076990149775698_n.jpg?stp=dst-jpg_s150x150_tt6&amp;efg=eyJ2ZW5jb2RlX3RhZyI6InByb2ZpbGVfcGljLmRqYW5nby43NDcuYzIifQ&amp;_nc_ht=instagram.fcgh5-2.fna.fbcdn.net&amp;_nc_cat=104&amp;_nc_oc=Q6cZ2gGddAowXjxZ5df2BnAa2YX1PZTd_BcRxAzoezqxw-37ZNHTw4BlT8oP6WvsnNRQo7LVQ7gNmA97pa31reWtSo-o&amp;_nc_ohc=41DzfoX-JW8Q7kNvwHnq69u&amp;_nc_gid=49EaxL81kk9tzbr6WOZicA&amp;edm=AI-cjbYBAAAA&amp;ccb=7-5&amp;oh=00_Af1ejc_d4wWOPJaLQ5EL3AfmKqmzK36CgkuV7nTx59JNPA&amp;oe=69D8BE42&amp;_nc_sid=0985b0</t>
  </si>
  <si>
    <t>04/08/2020, 13:14:29</t>
  </si>
  <si>
    <t>https://instagram.fcgh5-2.fna.fbcdn.net/v/t51.82787-19/574233390_18393115045123935_8706979050179224508_n.jpg?stp=dst-jpg_s150x150_tt6&amp;efg=eyJ2ZW5jb2RlX3RhZyI6InByb2ZpbGVfcGljLmRqYW5nby4xMDgwLmMyIn0&amp;_nc_ht=instagram.fcgh5-2.fna.fbcdn.net&amp;_nc_cat=103&amp;_nc_oc=Q6cZ2gHEPkV4-RZt6Y4zPhZDFAUkGhLuIZbq5DXFnObqnUWmx21QzFdyrmLWe63jienFvnKBeJr_NS3d_2r--Lg1BsWF&amp;_nc_ohc=DthU4rOQI7wQ7kNvwFUA_tX&amp;_nc_gid=rqr6pItSaLHTQfHqwNObGA&amp;edm=AI-cjbYBAAAA&amp;ccb=7-5&amp;oh=00_Af1UA2UgIuY2Efp7Pl8QGM9WfntYh0im54kYbOycsexNWA&amp;oe=69D8BA9A&amp;_nc_sid=0985b0</t>
  </si>
  <si>
    <t>cristina_reboucas18</t>
  </si>
  <si>
    <t>Adorei está live❤️</t>
  </si>
  <si>
    <t>05/08/2020, 21:59:12</t>
  </si>
  <si>
    <t>https://www.instagram.com/cristina_reboucas18</t>
  </si>
  <si>
    <t>https://instagram.fcgh5-1.fna.fbcdn.net/v/t51.2885-19/201838052_1222847311481108_490429720065762859_n.jpg?stp=dst-jpg_s150x150_tt6&amp;efg=eyJ2ZW5jb2RlX3RhZyI6InByb2ZpbGVfcGljLmRqYW5nby4xMDgwLmMyIn0&amp;_nc_ht=instagram.fcgh5-1.fna.fbcdn.net&amp;_nc_cat=108&amp;_nc_oc=Q6cZ2gGxRLFiF2Mu8GPOZw1wQKt-X9DBia8brm12BpQ9K39q-zHZjOAWgHGlCKqpgLXA_brBud7v-Q2n8MDyJWo1B9wh&amp;_nc_ohc=ED0WCmJQNRgQ7kNvwF3rj5i&amp;_nc_gid=jbfjy7d3aZt0zhdTikdE9g&amp;edm=AI-cjbYBAAAA&amp;ccb=7-5&amp;oh=00_Af1tbiSYsqcJGXk_TmClbfOkmqFCRizTNVCGr_qONenJdw&amp;oe=69D8B0A0&amp;_nc_sid=0985b0</t>
  </si>
  <si>
    <t>Adorei a fica  dos livros</t>
  </si>
  <si>
    <t>05/08/2020, 21:59:38</t>
  </si>
  <si>
    <t>Agradecemos</t>
  </si>
  <si>
    <t>08/08/2020, 10:49:19</t>
  </si>
  <si>
    <t>https://instagram.fcgh5-2.fna.fbcdn.net/v/t51.82787-19/574233390_18393115045123935_8706979050179224508_n.jpg?stp=dst-jpg_s150x150_tt6&amp;efg=eyJ2ZW5jb2RlX3RhZyI6InByb2ZpbGVfcGljLmRqYW5nby4xMDgwLmMyIn0&amp;_nc_ht=instagram.fcgh5-2.fna.fbcdn.net&amp;_nc_cat=103&amp;_nc_oc=Q6cZ2gGxRLFiF2Mu8GPOZw1wQKt-X9DBia8brm12BpQ9K39q-zHZjOAWgHGlCKqpgLXA_brBud7v-Q2n8MDyJWo1B9wh&amp;_nc_ohc=DthU4rOQI7wQ7kNvwFUA_tX&amp;_nc_gid=jbfjy7d3aZt0zhdTikdE9g&amp;edm=AI-cjbYBAAAA&amp;ccb=7-5&amp;oh=00_Af0BHl30HhMMAPXVzjES2MvrdOMtCUPcbunN4n6013ZJwg&amp;oe=69D8BA9A&amp;_nc_sid=0985b0</t>
  </si>
  <si>
    <t>08/08/2020, 10:49:22</t>
  </si>
  <si>
    <t>@cristina_reboucas18 Que legal, ficamos contentes!</t>
  </si>
  <si>
    <t>09/08/2020, 22:30:54</t>
  </si>
  <si>
    <t>Vamos realizar mais! Ficamos felizes que vc gostou!</t>
  </si>
  <si>
    <t>09/08/2020, 22:31:23</t>
  </si>
  <si>
    <t>https://instagram.fcgh5-1.fna.fbcdn.net/v/t51.2885-19/201838052_1222847311481108_490429720065762859_n.jpg?stp=dst-jpg_s150x150_tt6&amp;efg=eyJ2ZW5jb2RlX3RhZyI6InByb2ZpbGVfcGljLmRqYW5nby4xMDgwLmMyIn0&amp;_nc_ht=instagram.fcgh5-1.fna.fbcdn.net&amp;_nc_cat=108&amp;_nc_oc=Q6cZ2gEuyeG8LA9Ib5ycSDbM7qDnoQebkOkdE_92T_z9gw1upQtHFm2KZwZom_U6V_wDz8MStnhYJ2uWGs44YDtbz9UP&amp;_nc_ohc=ED0WCmJQNRgQ7kNvwF3rj5i&amp;_nc_gid=-7CLmZRh5Nx_C1lN1yKLxw&amp;edm=AI-cjbYBAAAA&amp;ccb=7-5&amp;oh=00_Af0wXQLJY09iT6AKSy6QfIP8mhCd8lv6-KkStYaf8YLFOA&amp;oe=69D8B0A0&amp;_nc_sid=0985b0</t>
  </si>
  <si>
    <t>https://instagram.fcgh5-2.fna.fbcdn.net/v/t51.82787-19/574233390_18393115045123935_8706979050179224508_n.jpg?stp=dst-jpg_s150x150_tt6&amp;efg=eyJ2ZW5jb2RlX3RhZyI6InByb2ZpbGVfcGljLmRqYW5nby4xMDgwLmMyIn0&amp;_nc_ht=instagram.fcgh5-2.fna.fbcdn.net&amp;_nc_cat=103&amp;_nc_oc=Q6cZ2gEuyeG8LA9Ib5ycSDbM7qDnoQebkOkdE_92T_z9gw1upQtHFm2KZwZom_U6V_wDz8MStnhYJ2uWGs44YDtbz9UP&amp;_nc_ohc=DthU4rOQI7wQ7kNvwFUA_tX&amp;_nc_gid=-7CLmZRh5Nx_C1lN1yKLxw&amp;edm=AI-cjbYBAAAA&amp;ccb=7-5&amp;oh=00_Af3sQYOfaQfBpo4WSIqUCZAM8FUoCKd3n0MzD3QcAP6xwg&amp;oe=69D8BA9A&amp;_nc_sid=0985b0</t>
  </si>
  <si>
    <t>eliandrinho</t>
  </si>
  <si>
    <t>Melhor que a Emirates? 🤔🤔</t>
  </si>
  <si>
    <t>28/07/2020, 23:08:27</t>
  </si>
  <si>
    <t>https://www.instagram.com/eliandrinho</t>
  </si>
  <si>
    <t>https://instagram.fcgh5-2.fna.fbcdn.net/v/t51.2885-19/11950642_1620443188243024_1932830255_a.jpg?stp=dst-jpg_s150x150_tt6&amp;efg=eyJ2ZW5jb2RlX3RhZyI6InByb2ZpbGVfcGljLmRqYW5nby4yMDAuYzIifQ&amp;_nc_ht=instagram.fcgh5-2.fna.fbcdn.net&amp;_nc_cat=104&amp;_nc_oc=Q6cZ2gElXBlrlKvJJ-IiPA7zC0n7zlAnW_-J_G_NWICR5eAAVGsM6lGCujBZvGj_VEbuZIfUBwXu0UMT2_x5GKKfLG4L&amp;_nc_ohc=eImASaXkz04Q7kNvwEkOdlT&amp;_nc_gid=Fdc1BuVsfNa2xYrXCzQdpw&amp;edm=AI-cjbYBAAAA&amp;ccb=7-5&amp;oh=00_Af2ufK5fvLSV7HWyrLOV1yKGD1h2-rviyIYnoGL0NowSgQ&amp;oe=69D8B8D8&amp;_nc_sid=0985b0</t>
  </si>
  <si>
    <t>Obrigada pelo carinho, beijocas de Floripa!</t>
  </si>
  <si>
    <t>08/08/2020, 10:31:57</t>
  </si>
  <si>
    <t>https://instagram.fcgh5-1.fna.fbcdn.net/v/t51.2885-19/103571370_1414488935406081_3261486609947470384_n.jpg?stp=dst-jpg_s150x150_tt6&amp;efg=eyJ2ZW5jb2RlX3RhZyI6InByb2ZpbGVfcGljLmRqYW5nby44NTMuYzIifQ&amp;_nc_ht=instagram.fcgh5-1.fna.fbcdn.net&amp;_nc_cat=109&amp;_nc_oc=Q6cZ2gHH8zhP4qSdUf1HZ_rr8G79t_3Nu6gL-prA1Q8IxChOzFxhTNRyP-dp3ylSoLOX4S9Y-tpubzwIy5x8dgxKmLAJ&amp;_nc_ohc=Vc1g64QH7h4Q7kNvwFFm9KP&amp;_nc_gid=dVNF7ZMHbsHN5Fs-7LSE-A&amp;edm=AI-cjbYBAAAA&amp;ccb=7-5&amp;oh=00_Af02QTim5PLXpSUE3JgM0Fnb485oy-FLgLfA0uTUKnzQSg&amp;oe=69D8CBA9&amp;_nc_sid=0985b0</t>
  </si>
  <si>
    <t>Maravilhosa, a senhora é um exemplo pra todos nós!</t>
  </si>
  <si>
    <t>09/08/2020, 14:28:36</t>
  </si>
  <si>
    <t>https://instagram.fcgh5-2.fna.fbcdn.net/v/t51.82787-19/574233390_18393115045123935_8706979050179224508_n.jpg?stp=dst-jpg_s150x150_tt6&amp;efg=eyJ2ZW5jb2RlX3RhZyI6InByb2ZpbGVfcGljLmRqYW5nby4xMDgwLmMyIn0&amp;_nc_ht=instagram.fcgh5-2.fna.fbcdn.net&amp;_nc_cat=103&amp;_nc_oc=Q6cZ2gHH8zhP4qSdUf1HZ_rr8G79t_3Nu6gL-prA1Q8IxChOzFxhTNRyP-dp3ylSoLOX4S9Y-tpubzwIy5x8dgxKmLAJ&amp;_nc_ohc=DthU4rOQI7wQ7kNvwFUA_tX&amp;_nc_gid=dVNF7ZMHbsHN5Fs-7LSE-A&amp;edm=AI-cjbYBAAAA&amp;ccb=7-5&amp;oh=00_Af3uSpq03RG4dZL6xZ2LMFOQGTVje4DiS1UDBlY-yT7IGA&amp;oe=69D8BA9A&amp;_nc_sid=0985b0</t>
  </si>
  <si>
    <t>im_oggy_me</t>
  </si>
  <si>
    <t>Promote it on 👉@travel.nirvana_</t>
  </si>
  <si>
    <t>19/05/2022, 21:54:36</t>
  </si>
  <si>
    <t>https://www.instagram.com/im_oggy_me</t>
  </si>
  <si>
    <t>https://instagram.fcgh5-1.fna.fbcdn.net/v/t51.2885-19/277853878_468947431677406_8989157523664950669_n.jpg?stp=dst-jpg_s150x150_tt6&amp;efg=eyJ2ZW5jb2RlX3RhZyI6InByb2ZpbGVfcGljLmRqYW5nby4zMjAuYzIifQ&amp;_nc_ht=instagram.fcgh5-1.fna.fbcdn.net&amp;_nc_cat=110&amp;_nc_oc=Q6cZ2gFvnszxYyvsBWZS_CVc6PD_z3MzdOph7R8mx2Byses5O1hLax0nrI2S9VGUtQq7OqCbp8ZGphEAAFwvDsVq7kDq&amp;_nc_ohc=yTI7JhYMXSIQ7kNvwFydV2y&amp;_nc_gid=tm1KBf0KB9L2fkcku3bJ7Q&amp;edm=AI-cjbYBAAAA&amp;ccb=7-5&amp;oh=00_Af1Ulh6o1qZxPOspGtTdSUw51uTsABuXe6y3o9EUzwjtXQ&amp;oe=69D89B85&amp;_nc_sid=0985b0</t>
  </si>
  <si>
    <t>shunajna</t>
  </si>
  <si>
    <t>Love it DM ❤️ @paris_mania_</t>
  </si>
  <si>
    <t>20/05/2022, 00:50:03</t>
  </si>
  <si>
    <t>https://www.instagram.com/shunajna</t>
  </si>
  <si>
    <t>https://instagram.fcgh5-2.fna.fbcdn.net/v/t51.2885-19/365467518_833342207961339_7703737349546060892_n.jpg?stp=dst-jpg_s150x150_tt6&amp;efg=eyJ2ZW5jb2RlX3RhZyI6InByb2ZpbGVfcGljLmRqYW5nby43MjAuYzIifQ&amp;_nc_ht=instagram.fcgh5-2.fna.fbcdn.net&amp;_nc_cat=103&amp;_nc_oc=Q6cZ2gFvnszxYyvsBWZS_CVc6PD_z3MzdOph7R8mx2Byses5O1hLax0nrI2S9VGUtQq7OqCbp8ZGphEAAFwvDsVq7kDq&amp;_nc_ohc=PK44na5LJBIQ7kNvwHkYyz1&amp;_nc_gid=tm1KBf0KB9L2fkcku3bJ7Q&amp;edm=AI-cjbYBAAAA&amp;ccb=7-5&amp;oh=00_Af0FPxT840OcgO-5jdQXMkY0k__7eZiJ8Kwwy3oU4X-9cQ&amp;oe=69D8AE4F&amp;_nc_sid=0985b0</t>
  </si>
  <si>
    <t>https://instagram.fcgh5-1.fna.fbcdn.net/v/t51.2885-19/277853878_468947431677406_8989157523664950669_n.jpg?stp=dst-jpg_s150x150_tt6&amp;efg=eyJ2ZW5jb2RlX3RhZyI6InByb2ZpbGVfcGljLmRqYW5nby4zMjAuYzIifQ&amp;_nc_ht=instagram.fcgh5-1.fna.fbcdn.net&amp;_nc_cat=110&amp;_nc_oc=Q6cZ2gHXa823_W555-nainGpydW9GZd2KKCRBUYCM5vEypH6iDzMF5FNx7LNnXNoAPrMN1qN6wLTQTdjHKE-DdaBkA2o&amp;_nc_ohc=yTI7JhYMXSIQ7kNvwFydV2y&amp;_nc_gid=-ELkNZF5YVaUAoZScSNPBg&amp;edm=AI-cjbYBAAAA&amp;ccb=7-5&amp;oh=00_Af250LgsVSkMDvVkJraYZu4yJQYS0uNian5BsRE3ztNYjA&amp;oe=69D89B85&amp;_nc_sid=0985b0</t>
  </si>
  <si>
    <t>https://instagram.fcgh5-2.fna.fbcdn.net/v/t51.2885-19/365467518_833342207961339_7703737349546060892_n.jpg?stp=dst-jpg_s150x150_tt6&amp;efg=eyJ2ZW5jb2RlX3RhZyI6InByb2ZpbGVfcGljLmRqYW5nby43MjAuYzIifQ&amp;_nc_ht=instagram.fcgh5-2.fna.fbcdn.net&amp;_nc_cat=103&amp;_nc_oc=Q6cZ2gHXa823_W555-nainGpydW9GZd2KKCRBUYCM5vEypH6iDzMF5FNx7LNnXNoAPrMN1qN6wLTQTdjHKE-DdaBkA2o&amp;_nc_ohc=PK44na5LJBIQ7kNvwHkYyz1&amp;_nc_gid=-ELkNZF5YVaUAoZScSNPBg&amp;edm=AI-cjbYBAAAA&amp;ccb=7-5&amp;oh=00_Af2THrF-aQnMLL8lUioI5mdv8B9jzcxOgtdkHMc3GRlPBw&amp;oe=69D8AE4F&amp;_nc_sid=0985b0</t>
  </si>
  <si>
    <t>brandtruckoficial</t>
  </si>
  <si>
    <t>😍🕺🏻🎉💙</t>
  </si>
  <si>
    <t>13/08/2020, 12:52:11</t>
  </si>
  <si>
    <t>https://www.instagram.com/brandtruckoficial</t>
  </si>
  <si>
    <t>https://instagram.fcgh5-2.fna.fbcdn.net/v/t51.2885-19/106413141_300293811330804_6134270424372877425_n.jpg?stp=dst-jpg_s150x150_tt6&amp;efg=eyJ2ZW5jb2RlX3RhZyI6InByb2ZpbGVfcGljLmRqYW5nby4zMDAuYzIifQ&amp;_nc_ht=instagram.fcgh5-2.fna.fbcdn.net&amp;_nc_cat=100&amp;_nc_oc=Q6cZ2gFT0WoU7k-8McaGCawUHofr9AOVG9ePdtr_CJ6cR5CMiScKGSidyuYG57qu4zOdxaXk5yJAISPguHUgU-Afubrn&amp;_nc_ohc=W1ZSmBCz4_4Q7kNvwFu8R2a&amp;_nc_gid=riexCmXjwTZ-XqzVQ2U0WA&amp;edm=AI-cjbYBAAAA&amp;ccb=7-5&amp;oh=00_Af21Ei0SYFtzfi_CFvD8r2h7RlmxvCAD8KWAD6fIh_IT9Q&amp;oe=69D8BEE6&amp;_nc_sid=0985b0</t>
  </si>
  <si>
    <t>19/08/2020, 00:05:55</t>
  </si>
  <si>
    <t>https://instagram.fcgh5-2.fna.fbcdn.net/v/t51.82787-19/574233390_18393115045123935_8706979050179224508_n.jpg?stp=dst-jpg_s150x150_tt6&amp;efg=eyJ2ZW5jb2RlX3RhZyI6InByb2ZpbGVfcGljLmRqYW5nby4xMDgwLmMyIn0&amp;_nc_ht=instagram.fcgh5-2.fna.fbcdn.net&amp;_nc_cat=103&amp;_nc_oc=Q6cZ2gHhe-QRrCGu5cxZfIxdcyWxzRBNmvdXcNAgvvQPL1vOHpo8zQrtad2cWLuPj30OAT-puLYdjRVnwIBSb_fZKDTI&amp;_nc_ohc=DthU4rOQI7wQ7kNvwFUA_tX&amp;_nc_gid=rSCGu8Z3U-r7SUnF4Xa8NQ&amp;edm=AI-cjbYBAAAA&amp;ccb=7-5&amp;oh=00_Af1LDJdnbgLPMeJOZvF78FUP5qhlKRLve2RZSpRtyeiSaw&amp;oe=69D8BA9A&amp;_nc_sid=0985b0</t>
  </si>
  <si>
    <t>inglescomvivian</t>
  </si>
  <si>
    <t>&lt;3</t>
  </si>
  <si>
    <t>19/08/2020, 22:56:14</t>
  </si>
  <si>
    <t>https://www.instagram.com/inglescomvivian</t>
  </si>
  <si>
    <t>https://instagram.fcgh5-2.fna.fbcdn.net/v/t51.2885-19/361593187_239587925612340_4846395939019459572_n.jpg?stp=dst-jpg_s150x150_tt6&amp;efg=eyJ2ZW5jb2RlX3RhZyI6InByb2ZpbGVfcGljLmRqYW5nby42NDAuYzIifQ&amp;_nc_ht=instagram.fcgh5-2.fna.fbcdn.net&amp;_nc_cat=100&amp;_nc_oc=Q6cZ2gHqiPPzo-2w46MFqxAB3Q7SW5AuQNYyIaAt-7C45gPvVTSQQZ7I3FqP6BOYV61mDQAxcOclsaxHabyuDDAxFNny&amp;_nc_ohc=EqCguSm0_5sQ7kNvwE0R4wl&amp;_nc_gid=OZpV94SSDhDD5ibEU1tDWw&amp;edm=AI-cjbYBAAAA&amp;ccb=7-5&amp;oh=00_Af1lFhFAvMInDA6kKPV5TjjPdhI4eYR5fXjGfYUf30MYHg&amp;oe=69D8B93C&amp;_nc_sid=0985b0</t>
  </si>
  <si>
    <t>rapperbreakdown</t>
  </si>
  <si>
    <t>13/10/2022, 14:54:31</t>
  </si>
  <si>
    <t>https://www.instagram.com/rapperbreakdown</t>
  </si>
  <si>
    <t>https://instagram.fcgh5-2.fna.fbcdn.net/v/t51.2885-19/483463870_654672080579802_7464746128624863841_n.jpg?stp=dst-jpg_s150x150_tt6&amp;efg=eyJ2ZW5jb2RlX3RhZyI6InByb2ZpbGVfcGljLmRqYW5nby4xMDgwLmMyIn0&amp;_nc_ht=instagram.fcgh5-2.fna.fbcdn.net&amp;_nc_cat=106&amp;_nc_oc=Q6cZ2gH5oi2SEEtHT4QhjyW7E5glSpO0dX9d2e4wGfWYg8PUyc6tmXLvsXO21nuglvtP4R-4vJICdQOYQ-wwxt4vCS0F&amp;_nc_ohc=kLZJDRtLjrwQ7kNvwE36dUE&amp;_nc_gid=bo3sNZVlIJJLSfiuumUKHw&amp;edm=AI-cjbYBAAAA&amp;ccb=7-5&amp;oh=00_Af0kmN7JYRrtDwFXHJXBZOApMJIcVwoQameWNeFZZK78-Q&amp;oe=69D896BC&amp;_nc_sid=0985b0</t>
  </si>
  <si>
    <t>matahariapartamentos</t>
  </si>
  <si>
    <t>👏👏👏👏👏</t>
  </si>
  <si>
    <t>10/06/2022, 20:39:32</t>
  </si>
  <si>
    <t>https://www.instagram.com/matahariapartamentos</t>
  </si>
  <si>
    <t>https://instagram.fcgh5-1.fna.fbcdn.net/v/t51.2885-19/122981625_348863776371125_691052984355479237_n.jpg?stp=dst-jpg_s150x150_tt6&amp;efg=eyJ2ZW5jb2RlX3RhZyI6InByb2ZpbGVfcGljLmRqYW5nby43MjIuYzIifQ&amp;_nc_ht=instagram.fcgh5-1.fna.fbcdn.net&amp;_nc_cat=105&amp;_nc_oc=Q6cZ2gG_Xo1rzPNhd6P50_OM_iWlojntjvMc1iyNzhC72SgjWoaGp6R-JHKCZxaL19m9JB6chED5Y7EcPIH7FJdRnE1d&amp;_nc_ohc=fWrTXc-hF_cQ7kNvwG9jm1j&amp;_nc_gid=S5lQ0f643KFR00r2ijmVUg&amp;edm=AI-cjbYBAAAA&amp;ccb=7-5&amp;oh=00_Af0YrP7DR3rF8Oj6nt1_hQGB5No__VTG0GrL8rAo9I5VBQ&amp;oe=69D8B1AC&amp;_nc_sid=0985b0</t>
  </si>
  <si>
    <t>https://instagram.fcgh5-1.fna.fbcdn.net/v/t51.2885-19/122981625_348863776371125_691052984355479237_n.jpg?stp=dst-jpg_s150x150_tt6&amp;efg=eyJ2ZW5jb2RlX3RhZyI6InByb2ZpbGVfcGljLmRqYW5nby43MjIuYzIifQ&amp;_nc_ht=instagram.fcgh5-1.fna.fbcdn.net&amp;_nc_cat=105&amp;_nc_oc=Q6cZ2gHLwIMFG0mG1Yat67SZNdw6PwHvjuQ2diBj3qokZgkGW424HitapwxgCmOM5aIojmHMSlsg9dCiFbiEDvAowtFk&amp;_nc_ohc=fWrTXc-hF_cQ7kNvwG9jm1j&amp;_nc_gid=K-ENYr9Gq1MCPtEorcBhKg&amp;edm=AI-cjbYBAAAA&amp;ccb=7-5&amp;oh=00_Af3GULhx9ROfabFVBoeAPJWtfpSd2ueJqVV6OrBIvQPTgQ&amp;oe=69D8B1AC&amp;_nc_sid=0985b0</t>
  </si>
  <si>
    <t>vanessa.flair.janelle.oix5</t>
  </si>
  <si>
    <t>Hi 👋🏻 , we just reached out to you. Please check your DM. Thanks 🤙</t>
  </si>
  <si>
    <t>18/06/2022, 17:20:35</t>
  </si>
  <si>
    <t>https://www.instagram.com/vanessa.flair.janelle.oix5</t>
  </si>
  <si>
    <t>https://instagram.fcgh5-2.fna.fbcdn.net/v/t51.2885-19/290827067_356914853180653_2331217031071982979_n.jpg?stp=dst-jpg_s150x150_tt6&amp;efg=eyJ2ZW5jb2RlX3RhZyI6InByb2ZpbGVfcGljLmRqYW5nby42MDAuYzIifQ&amp;_nc_ht=instagram.fcgh5-2.fna.fbcdn.net&amp;_nc_cat=101&amp;_nc_oc=Q6cZ2gEjZgakvsDS5VDFefyh6tElSE9wf0SM69vw29abCaENZPmQ_ldXBY5P8dtD8EL9wcqpNFQFOhJbJ6Y9MHedPIDB&amp;_nc_ohc=Ff0l8RDR0ZsQ7kNvwHVaHxJ&amp;_nc_gid=0ZQSoZBlRQEo-dY9noAKAw&amp;edm=AI-cjbYBAAAA&amp;ccb=7-5&amp;oh=00_Af2PUc6z0wjOxqPehP5XA6MYsNxoELt8uVnPsnbfBQau1w&amp;oe=69D8A310&amp;_nc_sid=0985b0</t>
  </si>
  <si>
    <t>marlene.sergipe</t>
  </si>
  <si>
    <t>Viva a vida!</t>
  </si>
  <si>
    <t>05/09/2020, 12:05:51</t>
  </si>
  <si>
    <t>https://www.instagram.com/marlene.sergipe</t>
  </si>
  <si>
    <t>https://instagram.fcgh5-1.fna.fbcdn.net/v/t51.2885-19/93157109_251344089327956_6491282037800960000_n.jpg?stp=dst-jpg_s150x150_tt6&amp;efg=eyJ2ZW5jb2RlX3RhZyI6InByb2ZpbGVfcGljLmRqYW5nby43MzAuYzIifQ&amp;_nc_ht=instagram.fcgh5-1.fna.fbcdn.net&amp;_nc_cat=108&amp;_nc_oc=Q6cZ2gHJopK2LAxTTqMpjZn4NgQQV_Fi3YD6L1nCV-4S2yc_I7nnEeVV0xmbQg9SzxqTL-RYgjPio0914ytMY4b29TCg&amp;_nc_ohc=2epmLqZyvCAQ7kNvwFOh1Gp&amp;_nc_gid=u4JSlFBQLjIppbNgWEOBag&amp;edm=AI-cjbYBAAAA&amp;ccb=7-5&amp;oh=00_Af1qnavs_qPl1e-lGn-gQeqc-0CewJiYOTCU-vEeXfO32A&amp;oe=69D89EB6&amp;_nc_sid=0985b0</t>
  </si>
  <si>
    <t>Viva!</t>
  </si>
  <si>
    <t>05/09/2020, 14:20:58</t>
  </si>
  <si>
    <t>https://instagram.fcgh5-2.fna.fbcdn.net/v/t51.82787-19/574233390_18393115045123935_8706979050179224508_n.jpg?stp=dst-jpg_s150x150_tt6&amp;efg=eyJ2ZW5jb2RlX3RhZyI6InByb2ZpbGVfcGljLmRqYW5nby4xMDgwLmMyIn0&amp;_nc_ht=instagram.fcgh5-2.fna.fbcdn.net&amp;_nc_cat=103&amp;_nc_oc=Q6cZ2gHJopK2LAxTTqMpjZn4NgQQV_Fi3YD6L1nCV-4S2yc_I7nnEeVV0xmbQg9SzxqTL-RYgjPio0914ytMY4b29TCg&amp;_nc_ohc=DthU4rOQI7wQ7kNvwFUA_tX&amp;_nc_gid=u4JSlFBQLjIppbNgWEOBag&amp;edm=AI-cjbYBAAAA&amp;ccb=7-5&amp;oh=00_Af25TIgBEIjhCXKTWQvYth11zuf5YqHlqXQoS1L0zKSa9w&amp;oe=69D8BA9A&amp;_nc_sid=0985b0</t>
  </si>
  <si>
    <t>luizsilva8253</t>
  </si>
  <si>
    <t>Puxa vida ! O agressor tem que ficar uns dias preso !</t>
  </si>
  <si>
    <t>03/06/2022, 17:30:30</t>
  </si>
  <si>
    <t>https://www.instagram.com/luizsilva8253</t>
  </si>
  <si>
    <t>https://instagram.fcgh5-2.fna.fbcdn.net/v/t51.82787-19/572162871_18062667698417970_5694536552302392417_n.jpg?stp=dst-jpg_s150x150_tt6&amp;efg=eyJ2ZW5jb2RlX3RhZyI6InByb2ZpbGVfcGljLmRqYW5nby43MjAuYzIifQ&amp;_nc_ht=instagram.fcgh5-2.fna.fbcdn.net&amp;_nc_cat=106&amp;_nc_oc=Q6cZ2gHXQLc50bpzarBYc66YFFcX-BFQDeWu8Eh84rmG31Eo9CNzy6yf9tyC9jpjNqUTGVUYfuE3qeqkJmPcChhIxwix&amp;_nc_ohc=X94cWS7OAtYQ7kNvwHn_ZbU&amp;_nc_gid=Hnda3K5pkVAunoz4xbovVw&amp;edm=AI-cjbYBAAAA&amp;ccb=7-5&amp;oh=00_Af3Gg1l4Ep20vnPFC3g3H5ce9R2RSJYIoJ1IObBX4FAmxw&amp;oe=69D8C8EC&amp;_nc_sid=0985b0</t>
  </si>
  <si>
    <t>https://instagram.fcgh5-2.fna.fbcdn.net/v/t51.82787-19/572162871_18062667698417970_5694536552302392417_n.jpg?stp=dst-jpg_s150x150_tt6&amp;efg=eyJ2ZW5jb2RlX3RhZyI6InByb2ZpbGVfcGljLmRqYW5nby43MjAuYzIifQ&amp;_nc_ht=instagram.fcgh5-2.fna.fbcdn.net&amp;_nc_cat=106&amp;_nc_oc=Q6cZ2gEMWx2kWxuXLuFCr7gQ6OX9bFReC3n9ensQXFzWfPcnbtyNRxVQEbUoeIxj5zihiPZbavvWWtmsgLeP93IBkjhD&amp;_nc_ohc=X94cWS7OAtYQ7kNvwHn_ZbU&amp;_nc_gid=V9KcxT4ZkdjR4rlqJFeQpQ&amp;edm=AI-cjbYBAAAA&amp;ccb=7-5&amp;oh=00_Af2oehqcPQ7h10_BdOXz1fh_QdWkDhJpSc8ngQ-anMjNUg&amp;oe=69D8C8EC&amp;_nc_sid=0985b0</t>
  </si>
  <si>
    <t>@revistaembarque 💙✈😃</t>
  </si>
  <si>
    <t>18/09/2020, 18:14:40</t>
  </si>
  <si>
    <t>https://instagram.fcgh5-2.fna.fbcdn.net/v/t51.82787-19/639729863_18558452059034200_3549853680080427108_n.jpg?stp=dst-jpg_s150x150_tt6&amp;efg=eyJ2ZW5jb2RlX3RhZyI6InByb2ZpbGVfcGljLmRqYW5nby4xMDgwLmMyIn0&amp;_nc_ht=instagram.fcgh5-2.fna.fbcdn.net&amp;_nc_cat=104&amp;_nc_oc=Q6cZ2gE91GNgakHnwKQ7WOnu6UcqPFhVbKHegQqpcZSO76BBnmSXiygQKuiXsiVgwAFrWz3TH4R7G1yZ9nlqVUCVdB1g&amp;_nc_ohc=47p0b8hb-YgQ7kNvwFrImPo&amp;_nc_gid=qBV4V58Kq7h2oJCnq96UkA&amp;edm=AI-cjbYBAAAA&amp;ccb=7-5&amp;oh=00_Af0bDzbr0-A4dHM_XZnKGB4i5v1XGFqvGV65eWkJMO2aEA&amp;oe=69D8C1D7&amp;_nc_sid=0985b0</t>
  </si>
  <si>
    <t>atelieanaart</t>
  </si>
  <si>
    <t>Eu amei😍 me chama no direct?</t>
  </si>
  <si>
    <t>18/09/2020, 22:13:43</t>
  </si>
  <si>
    <t>https://www.instagram.com/atelieanaart</t>
  </si>
  <si>
    <t>https://instagram.fcgh5-1.fna.fbcdn.net/v/t51.2885-19/458258763_533528016015537_7565887922729515308_n.jpg?stp=dst-jpg_s150x150_tt6&amp;efg=eyJ2ZW5jb2RlX3RhZyI6InByb2ZpbGVfcGljLmRqYW5nby4zNjguYzIifQ&amp;_nc_ht=instagram.fcgh5-1.fna.fbcdn.net&amp;_nc_cat=109&amp;_nc_oc=Q6cZ2gH32VuOl-De6f3RkECPr6t9t5BryYKmjO1RCKDqW3wR9EogDGrZnD0V00Kdc2vpAvcXajmOiTsKZkfTRHkv1tbJ&amp;_nc_ohc=fbtPv_cmNVAQ7kNvwFgByMI&amp;_nc_gid=043vlN7fEKA8CdMay0lIGw&amp;edm=AI-cjbYBAAAA&amp;ccb=7-5&amp;oh=00_Af1Q3-2pFPfiLNLXKdmIeh5Gt02eGX9kLsBO-jamzvukqA&amp;oe=69D8CF6E&amp;_nc_sid=0985b0</t>
  </si>
  <si>
    <t>17/10/2020, 10:11:46</t>
  </si>
  <si>
    <t>https://instagram.fcgh5-2.fna.fbcdn.net/v/t51.82787-19/574233390_18393115045123935_8706979050179224508_n.jpg?stp=dst-jpg_s150x150_tt6&amp;efg=eyJ2ZW5jb2RlX3RhZyI6InByb2ZpbGVfcGljLmRqYW5nby4xMDgwLmMyIn0&amp;_nc_ht=instagram.fcgh5-2.fna.fbcdn.net&amp;_nc_cat=103&amp;_nc_oc=Q6cZ2gF25F3umMdPDUju4VyLEWXshJThUJpkNnFNXpO1PNm9YmlR4JIUxEbd6k8gB7qe23u3rLOIzfeIDoJ-5zDyfZPC&amp;_nc_ohc=DthU4rOQI7wQ7kNvwFUA_tX&amp;_nc_gid=_YecZrNN3ERsOwBj1t-o_w&amp;edm=AI-cjbYBAAAA&amp;ccb=7-5&amp;oh=00_Af1kkmjm1iV6EMn4gZe5RSE5DfICevZUFjrBjcLVZDtGSQ&amp;oe=69D8BA9A&amp;_nc_sid=0985b0</t>
  </si>
  <si>
    <t>https://instagram.fcgh5-2.fna.fbcdn.net/v/t51.82787-19/574233390_18393115045123935_8706979050179224508_n.jpg?stp=dst-jpg_s150x150_tt6&amp;efg=eyJ2ZW5jb2RlX3RhZyI6InByb2ZpbGVfcGljLmRqYW5nby4xMDgwLmMyIn0&amp;_nc_ht=instagram.fcgh5-2.fna.fbcdn.net&amp;_nc_cat=103&amp;_nc_oc=Q6cZ2gG_qEGBvk2HmCym8wq9at50WrA0m1hf2L6kBfnLE31lBIGEwB_P7qf0_wKLmjJkQnfYqMIGubvsl4GCM2e6PfQn&amp;_nc_ohc=DthU4rOQI7wQ7kNvwFUA_tX&amp;_nc_gid=cmUwzUcgt-4AyZ5vSoddSQ&amp;edm=AI-cjbYBAAAA&amp;ccb=7-5&amp;oh=00_Af2mLrqUENYiYVcZI5-FUAoCfzFPklnSu_iI7X6cxR6_QA&amp;oe=69D8BA9A&amp;_nc_sid=0985b0</t>
  </si>
  <si>
    <t>⠀
#embarqueseguro #transformaçãodigital #tecnologiasita #embarquebiométrico #biometria #aeroportos #tecnologia #familia #aviacao #aviation #covid19 #aviacaoexecutiva #latam #linhaaerea #tripulacao #novonormal #floripaairport</t>
  </si>
  <si>
    <t>13/10/2020, 21:30:53</t>
  </si>
  <si>
    <t>https://instagram.fcgh5-2.fna.fbcdn.net/v/t51.82787-19/574233390_18393115045123935_8706979050179224508_n.jpg?stp=dst-jpg_s150x150_tt6&amp;efg=eyJ2ZW5jb2RlX3RhZyI6InByb2ZpbGVfcGljLmRqYW5nby4xMDgwLmMyIn0&amp;_nc_ht=instagram.fcgh5-2.fna.fbcdn.net&amp;_nc_cat=103&amp;_nc_oc=Q6cZ2gHMGuU_QUcVPsfeV4DDX15LcgI-A-0Yvorm9U_K4N5wJmoN9hcR0aJDyG1uc9rlxqxKWmjuBlK-8q17ZahvP2_j&amp;_nc_ohc=DthU4rOQI7wQ7kNvwFUA_tX&amp;_nc_gid=ztrBIn37ecL-Dak0bZRAIA&amp;edm=AI-cjbYBAAAA&amp;ccb=7-5&amp;oh=00_Af2l-xWc4Q0j24IWOSpZEf2KrwY29UM5k6srNlpGSa8obQ&amp;oe=69D8BA9A&amp;_nc_sid=0985b0</t>
  </si>
  <si>
    <t>⠀
#alunos #antirracista #combateaopreconceito #consciêncianegra #diversidaderacial #educação #emicida #grammylatino #igualdade #respeito #negros #negras #culturaafro #vidasnegrasimportam #diadaconsciencianegra #combateaoracismo</t>
  </si>
  <si>
    <t>20/11/2020, 15:28:35</t>
  </si>
  <si>
    <t>https://instagram.fcgh5-2.fna.fbcdn.net/v/t51.82787-19/574233390_18393115045123935_8706979050179224508_n.jpg?stp=dst-jpg_s150x150_tt6&amp;efg=eyJ2ZW5jb2RlX3RhZyI6InByb2ZpbGVfcGljLmRqYW5nby4xMDgwLmMyIn0&amp;_nc_ht=instagram.fcgh5-2.fna.fbcdn.net&amp;_nc_cat=103&amp;_nc_oc=Q6cZ2gGiMQDwOWIiwgZP8NYmYdhha82VtFzm-I2HAuNL-WOEi2RUl8Md1xJDUt2zTSJ0kwqUDCwzZP5zgomlSBLaPZKa&amp;_nc_ohc=DthU4rOQI7wQ7kNvwFUA_tX&amp;_nc_gid=OOwJsFOAgkDela0ahtcP4Q&amp;edm=AI-cjbYBAAAA&amp;ccb=7-5&amp;oh=00_Af1tMq7RTOGgzXyiSK7c3nDXMxhJ-aahPj9bQBgh6ZHVKg&amp;oe=69D8BA9A&amp;_nc_sid=0985b0</t>
  </si>
  <si>
    <t>20/11/2020, 16:30:21</t>
  </si>
  <si>
    <t>https://instagram.fcgh5-2.fna.fbcdn.net/v/t51.82787-19/574233390_18393115045123935_8706979050179224508_n.jpg?stp=dst-jpg_s150x150_tt6&amp;efg=eyJ2ZW5jb2RlX3RhZyI6InByb2ZpbGVfcGljLmRqYW5nby4xMDgwLmMyIn0&amp;_nc_ht=instagram.fcgh5-2.fna.fbcdn.net&amp;_nc_cat=103&amp;_nc_oc=Q6cZ2gENKjMtiSKhr3WLtaW4vBNEc_LcKr3mcYP5V7lFgsDIBEPUMLsmZ0Y0eEx5O9dsmMz9quYJ-UUSQhtb3cnEl2Zp&amp;_nc_ohc=DthU4rOQI7wQ7kNvwFUA_tX&amp;_nc_gid=1seiQ1QLkDoLsw8KYfFTQg&amp;edm=AI-cjbYBAAAA&amp;ccb=7-5&amp;oh=00_Af2M9R3EcQ_8zTq5mqmOfNAV8dIw1G0H_Q45S544veAweA&amp;oe=69D8BA9A&amp;_nc_sid=0985b0</t>
  </si>
  <si>
    <t>_regianerios_</t>
  </si>
  <si>
    <t>Oi, tudo bem! Sou uma das fotógrafas da exposição junto com o Hugo Martins @hugomartinsfoto. Poderiam mencionar a gente na publicação? Os créditos ajudam na divulgação do nosso trabalho. ☺️</t>
  </si>
  <si>
    <t>01/12/2020, 13:54:01</t>
  </si>
  <si>
    <t>https://www.instagram.com/_regianerios_</t>
  </si>
  <si>
    <t>https://instagram.fcgh5-2.fna.fbcdn.net/v/t51.2885-19/324384724_850008059594979_3900636177191465030_n.jpg?stp=dst-jpg_s150x150_tt6&amp;efg=eyJ2ZW5jb2RlX3RhZyI6InByb2ZpbGVfcGljLmRqYW5nby4xMDgwLmMyIn0&amp;_nc_ht=instagram.fcgh5-2.fna.fbcdn.net&amp;_nc_cat=103&amp;_nc_oc=Q6cZ2gENKjMtiSKhr3WLtaW4vBNEc_LcKr3mcYP5V7lFgsDIBEPUMLsmZ0Y0eEx5O9dsmMz9quYJ-UUSQhtb3cnEl2Zp&amp;_nc_ohc=0D01XaKsS4cQ7kNvwFfWkDc&amp;_nc_gid=1seiQ1QLkDoLsw8KYfFTQg&amp;edm=AI-cjbYBAAAA&amp;ccb=7-5&amp;oh=00_Af3PTOlM9zgckDtDAlUyEWEbalkzwcPTGOHCfKvMaoWMtA&amp;oe=69D8CED8&amp;_nc_sid=0985b0</t>
  </si>
  <si>
    <t>@eu.regianerios Não está matéria? Vamos ver e incluir!</t>
  </si>
  <si>
    <t>07/12/2020, 14:06:32</t>
  </si>
  <si>
    <t>https://instagram.fcgh5-2.fna.fbcdn.net/v/t51.82787-19/574233390_18393115045123935_8706979050179224508_n.jpg?stp=dst-jpg_s150x150_tt6&amp;efg=eyJ2ZW5jb2RlX3RhZyI6InByb2ZpbGVfcGljLmRqYW5nby4xMDgwLmMyIn0&amp;_nc_ht=instagram.fcgh5-2.fna.fbcdn.net&amp;_nc_cat=103&amp;_nc_oc=Q6cZ2gGFdlSFU6lO3cN8NpmP06nW60_hEWKeNVdmf4xCCqVnQonPKdkqNpSJFKXHuY38EhbE9mM8L0uJoo2qiYXf0CKv&amp;_nc_ohc=DthU4rOQI7wQ7kNvwFUA_tX&amp;_nc_gid=BqdgHumavhOM8emDuuEJqg&amp;edm=AI-cjbYBAAAA&amp;ccb=7-5&amp;oh=00_Af04yb631kMnmpTo5FnHZQZny00MXX078Oj5J_ilcL-pEw&amp;oe=69D8BA9A&amp;_nc_sid=0985b0</t>
  </si>
  <si>
    <t>https://instagram.fcgh5-2.fna.fbcdn.net/v/t51.2885-19/324384724_850008059594979_3900636177191465030_n.jpg?stp=dst-jpg_s150x150_tt6&amp;efg=eyJ2ZW5jb2RlX3RhZyI6InByb2ZpbGVfcGljLmRqYW5nby4xMDgwLmMyIn0&amp;_nc_ht=instagram.fcgh5-2.fna.fbcdn.net&amp;_nc_cat=103&amp;_nc_oc=Q6cZ2gGFdlSFU6lO3cN8NpmP06nW60_hEWKeNVdmf4xCCqVnQonPKdkqNpSJFKXHuY38EhbE9mM8L0uJoo2qiYXf0CKv&amp;_nc_ohc=0D01XaKsS4cQ7kNvwFfWkDc&amp;_nc_gid=BqdgHumavhOM8emDuuEJqg&amp;edm=AI-cjbYBAAAA&amp;ccb=7-5&amp;oh=00_Af21eb_xJaq_rgsaXxSIArXtiTdN6G_MMlap4p9wlpTCiQ&amp;oe=69D8CED8&amp;_nc_sid=0985b0</t>
  </si>
  <si>
    <t>Todo dia você tem a chance de ver as mesmas coisas de uma forma diferente.</t>
  </si>
  <si>
    <t>19/08/2022, 17:41:27</t>
  </si>
  <si>
    <t>https://instagram.fcgh5-2.fna.fbcdn.net/v/t51.2885-19/483463870_654672080579802_7464746128624863841_n.jpg?stp=dst-jpg_s150x150_tt6&amp;efg=eyJ2ZW5jb2RlX3RhZyI6InByb2ZpbGVfcGljLmRqYW5nby4xMDgwLmMyIn0&amp;_nc_ht=instagram.fcgh5-2.fna.fbcdn.net&amp;_nc_cat=106&amp;_nc_oc=Q6cZ2gGCw8_WtyVySZEfOWDnR5XYkJ7Nv5My_9SUHlUxJY_8myVtF7noaoP7R795bZIaWpQ8fQoMSL5rzr1lrxd7jwQU&amp;_nc_ohc=kLZJDRtLjrwQ7kNvwE36dUE&amp;_nc_gid=M2ae9I3MV_PgrY2s1r72HA&amp;edm=AI-cjbYBAAAA&amp;ccb=7-5&amp;oh=00_Af1GZJRcKabiRZD8sar1FLtCb7l71tUQZPp9p7J6SoAw_g&amp;oe=69D896BC&amp;_nc_sid=0985b0</t>
  </si>
  <si>
    <t>cavalcanti_instituto</t>
  </si>
  <si>
    <t>triste demais</t>
  </si>
  <si>
    <t>28/11/2020, 18:44:55</t>
  </si>
  <si>
    <t>https://www.instagram.com/cavalcanti_instituto</t>
  </si>
  <si>
    <t>https://instagram.fcgh5-1.fna.fbcdn.net/v/t51.2885-19/472617238_525886763802902_1003874259540328703_n.jpg?stp=dst-jpg_s150x150_tt6&amp;efg=eyJ2ZW5jb2RlX3RhZyI6InByb2ZpbGVfcGljLmRqYW5nby45NTMuYzIifQ&amp;_nc_ht=instagram.fcgh5-1.fna.fbcdn.net&amp;_nc_cat=102&amp;_nc_oc=Q6cZ2gHvK2auZuqoMSMBwR221amcBOMrJCoj3qAbiVsoTe8-1hADP4H3Rw8xDHKFgBWAJJh7DKpatizI_SnZ4gIeUAFM&amp;_nc_ohc=r4-F1D-A6KkQ7kNvwGM76EO&amp;_nc_gid=X4q0APuxT6HwqZEK7_feag&amp;edm=AI-cjbYBAAAA&amp;ccb=7-5&amp;oh=00_Af3Pj7MxG2GPA1ZLwroYBU8NBe-d4wVvqWeqswaY-EP-UA&amp;oe=69D8A459&amp;_nc_sid=0985b0</t>
  </si>
  <si>
    <t>12/12/2020, 12:09:12</t>
  </si>
  <si>
    <t>https://instagram.fcgh5-2.fna.fbcdn.net/v/t51.82787-19/574233390_18393115045123935_8706979050179224508_n.jpg?stp=dst-jpg_s150x150_tt6&amp;efg=eyJ2ZW5jb2RlX3RhZyI6InByb2ZpbGVfcGljLmRqYW5nby4xMDgwLmMyIn0&amp;_nc_ht=instagram.fcgh5-2.fna.fbcdn.net&amp;_nc_cat=103&amp;_nc_oc=Q6cZ2gFjnNICTtW4O9P4G_MK_4jHSYER7CFBuO7cbIr-k4OJmOvHNuqcBdYNA5i5zTxIrb1jicforgtNqgHVTZj6Behk&amp;_nc_ohc=DthU4rOQI7wQ7kNvwFUA_tX&amp;_nc_gid=-dQ-00eNQaJaxxCODYRV8g&amp;edm=AI-cjbYBAAAA&amp;ccb=7-5&amp;oh=00_Af2ro7k1uNp4l9PE30VM83cLpUpvbBKVUmPGD-kCgV33Vw&amp;oe=69D8BA9A&amp;_nc_sid=0985b0</t>
  </si>
  <si>
    <t>https://instagram.fcgh5-2.fna.fbcdn.net/v/t51.82787-19/574233390_18393115045123935_8706979050179224508_n.jpg?stp=dst-jpg_s150x150_tt6&amp;efg=eyJ2ZW5jb2RlX3RhZyI6InByb2ZpbGVfcGljLmRqYW5nby4xMDgwLmMyIn0&amp;_nc_ht=instagram.fcgh5-2.fna.fbcdn.net&amp;_nc_cat=103&amp;_nc_oc=Q6cZ2gEsaOF78PNYd1yWCcaAcYc0dv3Zgpsaj7am6EBq2GW0sGxSdL9dIJEYIXQKZb_4FaAihKxA14VuL7UqpQ2QSMmf&amp;_nc_ohc=DthU4rOQI7wQ7kNvwFUA_tX&amp;_nc_gid=O4JpGF35rCJnrDqo1Hj2nA&amp;edm=AI-cjbYBAAAA&amp;ccb=7-5&amp;oh=00_Af3BN1tOmtWF2WXCMe_bFKBLMchvqXLzVOIn2SalgcqKWg&amp;oe=69D8BA9A&amp;_nc_sid=0985b0</t>
  </si>
  <si>
    <t>12/12/2020, 12:49:01</t>
  </si>
  <si>
    <t>https://instagram.fcgh5-2.fna.fbcdn.net/v/t51.82787-19/574233390_18393115045123935_8706979050179224508_n.jpg?stp=dst-jpg_s150x150_tt6&amp;efg=eyJ2ZW5jb2RlX3RhZyI6InByb2ZpbGVfcGljLmRqYW5nby4xMDgwLmMyIn0&amp;_nc_ht=instagram.fcgh5-2.fna.fbcdn.net&amp;_nc_cat=103&amp;_nc_oc=Q6cZ2gFQbM4vbcktNtRT0rk5fpiuM1J7AQ_U1iSTbGU-rBL4jKn6PvRvLmy9WrCJz457aOSgdjgJoATJpqUGZJ5CjMEb&amp;_nc_ohc=DthU4rOQI7wQ7kNvwFUA_tX&amp;_nc_gid=arsOLsaDQuPnvvHV4Yk1IA&amp;edm=AI-cjbYBAAAA&amp;ccb=7-5&amp;oh=00_Af160sxysyeypiqTdDOIFmSRvZkE_qmEBJfb4dRJN5fmyg&amp;oe=69D8BA9A&amp;_nc_sid=0985b0</t>
  </si>
  <si>
    <t>https://instagram.fcgh5-2.fna.fbcdn.net/v/t51.82787-19/574233390_18393115045123935_8706979050179224508_n.jpg?stp=dst-jpg_s150x150_tt6&amp;efg=eyJ2ZW5jb2RlX3RhZyI6InByb2ZpbGVfcGljLmRqYW5nby4xMDgwLmMyIn0&amp;_nc_ht=instagram.fcgh5-2.fna.fbcdn.net&amp;_nc_cat=103&amp;_nc_oc=Q6cZ2gG2qw5rK9ZJvIDMOaO-dEk-BMpPYk6HfWnOfTs_CK6B91q9-SCf4XvDnKwn-Iv8yL6YTvy_B3WNV1EBt0go5qdP&amp;_nc_ohc=DthU4rOQI7wQ7kNvwFUA_tX&amp;_nc_gid=vAyMBANyL0-Mi9yQWNNm1A&amp;edm=AI-cjbYBAAAA&amp;ccb=7-5&amp;oh=00_Af15euj4_VjKsetZ3N7NOBH_cgTRoDX2A6c8nA3-TQH78A&amp;oe=69D8BA9A&amp;_nc_sid=0985b0</t>
  </si>
  <si>
    <t>04/12/2020, 22:30:58</t>
  </si>
  <si>
    <t>https://instagram.fcgh5-2.fna.fbcdn.net/v/t51.82787-19/574233390_18393115045123935_8706979050179224508_n.jpg?stp=dst-jpg_s150x150_tt6&amp;efg=eyJ2ZW5jb2RlX3RhZyI6InByb2ZpbGVfcGljLmRqYW5nby4xMDgwLmMyIn0&amp;_nc_ht=instagram.fcgh5-2.fna.fbcdn.net&amp;_nc_cat=103&amp;_nc_oc=Q6cZ2gE7s10bS4IdmM7pUerVk_mOUzc_2K_gYBdUGjFOTmA1b0tcq8DLlKSl1Yu0XxupXALfcCxD1YeKNoTGQFTsY3Yg&amp;_nc_ohc=DthU4rOQI7wQ7kNvwFUA_tX&amp;_nc_gid=LbN-z96FY5rj07uPf-d21A&amp;edm=AI-cjbYBAAAA&amp;ccb=7-5&amp;oh=00_Af1nmYRfuogeX3Nr1GymFVe1qqU44Zu0SI8eYgrKeMKFbg&amp;oe=69D8BA9A&amp;_nc_sid=0985b0</t>
  </si>
  <si>
    <t>https://instagram.fcgh5-2.fna.fbcdn.net/v/t51.82787-19/574233390_18393115045123935_8706979050179224508_n.jpg?stp=dst-jpg_s150x150_tt6&amp;efg=eyJ2ZW5jb2RlX3RhZyI6InByb2ZpbGVfcGljLmRqYW5nby4xMDgwLmMyIn0&amp;_nc_ht=instagram.fcgh5-2.fna.fbcdn.net&amp;_nc_cat=103&amp;_nc_oc=Q6cZ2gEcYWKQ8rGuACgPage86bjuW-ZMeT_oMfu40DT5wKA5qFaPzHqGGCQcQ2WTrJfHXGyINu2ZHkxge_ckLIgvvI9y&amp;_nc_ohc=DthU4rOQI7wQ7kNvwFUA_tX&amp;_nc_gid=X55jS3FHnw1OuTbYUy-75w&amp;edm=AI-cjbYBAAAA&amp;ccb=7-5&amp;oh=00_Af0jSIPsmBMP4c8EDPs9X2528qIQs-ZHwSENP3sAbesorQ&amp;oe=69D8BA9A&amp;_nc_sid=0985b0</t>
  </si>
  <si>
    <t>https://instagram.fcgh5-2.fna.fbcdn.net/v/t51.82787-19/574233390_18393115045123935_8706979050179224508_n.jpg?stp=dst-jpg_s150x150_tt6&amp;efg=eyJ2ZW5jb2RlX3RhZyI6InByb2ZpbGVfcGljLmRqYW5nby4xMDgwLmMyIn0&amp;_nc_ht=instagram.fcgh5-2.fna.fbcdn.net&amp;_nc_cat=103&amp;_nc_oc=Q6cZ2gGtiFO7KJMcIoAngtzvYx-hh4x32srzsRqx-7rWUWPEBWR5NHzAsEKLkXjcqrEC9dK_LPwsA_BX9MyrrG0MLreC&amp;_nc_ohc=DthU4rOQI7wQ7kNvwFUA_tX&amp;_nc_gid=uD0hyygXFoJ1ycstDIAGZA&amp;edm=AI-cjbYBAAAA&amp;ccb=7-5&amp;oh=00_Af0P9-65igLWyZEmKmEZ2-F8hknJ4g52wCzb74DZEHaliw&amp;oe=69D8BA9A&amp;_nc_sid=0985b0</t>
  </si>
  <si>
    <t>the.bird.of.passage</t>
  </si>
  <si>
    <t>Ojalá el próximo año podamos viajar más 😉</t>
  </si>
  <si>
    <t>21/12/2020, 19:06:35</t>
  </si>
  <si>
    <t>https://www.instagram.com/the.bird.of.passage</t>
  </si>
  <si>
    <t>https://instagram.fcgh5-2.fna.fbcdn.net/v/t51.2885-19/144119657_441001436943892_5480585928503252154_n.jpg?stp=dst-jpg_s150x150_tt6&amp;efg=eyJ2ZW5jb2RlX3RhZyI6InByb2ZpbGVfcGljLmRqYW5nby42MDkuYzIifQ&amp;_nc_ht=instagram.fcgh5-2.fna.fbcdn.net&amp;_nc_cat=104&amp;_nc_oc=Q6cZ2gHB79q8p0g0qi4kCCVPL1KNQOFoc9m84vy--08MTVS2w4Y_bnmY5znJNEt4D00ATrz9Uca9QgIvBfZ_Y_hlasDF&amp;_nc_ohc=HaJJZscko8EQ7kNvwEoct8H&amp;_nc_gid=g2EaR0ZeIKok5qEAMWIlJg&amp;edm=AI-cjbYBAAAA&amp;ccb=7-5&amp;oh=00_Af2SBoOjLj-gbM4sJ7_AODcLcNj37MzvfsT_txMOrHtN5g&amp;oe=69D8CB39&amp;_nc_sid=0985b0</t>
  </si>
  <si>
    <t>21/12/2020, 16:32:57</t>
  </si>
  <si>
    <t>https://instagram.fcgh5-2.fna.fbcdn.net/v/t51.82787-19/574233390_18393115045123935_8706979050179224508_n.jpg?stp=dst-jpg_s150x150_tt6&amp;efg=eyJ2ZW5jb2RlX3RhZyI6InByb2ZpbGVfcGljLmRqYW5nby4xMDgwLmMyIn0&amp;_nc_ht=instagram.fcgh5-2.fna.fbcdn.net&amp;_nc_cat=103&amp;_nc_oc=Q6cZ2gFXuU_ILK0MhaEpY2B39CgQgGBlvQn0RGtrw5PBTugkXIqInP1JdiU_iLMN2-djYXmDsRTcLnUR0oNlO4QKLTeV&amp;_nc_ohc=DthU4rOQI7wQ7kNvwFUA_tX&amp;_nc_gid=dwHXKPfDjQ0sqxQp5ehmEA&amp;edm=AI-cjbYBAAAA&amp;ccb=7-5&amp;oh=00_Af31EYGS6wEwdAVtO34c8tIz3atx5mnf0hA_sDOIhk32sg&amp;oe=69D8BA9A&amp;_nc_sid=0985b0</t>
  </si>
  <si>
    <t>🙏🏽🙏🏽🙏🏽</t>
  </si>
  <si>
    <t>12/11/2022, 07:48:40</t>
  </si>
  <si>
    <t>https://instagram.fcgh5-2.fna.fbcdn.net/v/t51.2885-19/483463870_654672080579802_7464746128624863841_n.jpg?stp=dst-jpg_s150x150_tt6&amp;efg=eyJ2ZW5jb2RlX3RhZyI6InByb2ZpbGVfcGljLmRqYW5nby4xMDgwLmMyIn0&amp;_nc_ht=instagram.fcgh5-2.fna.fbcdn.net&amp;_nc_cat=106&amp;_nc_oc=Q6cZ2gGEKL6XmFyJq0OhwMe-c-_5jcfgOl3BHKbOWGJYV1WzC57nH_toy4NM4rCPDwYGYODR5QcsPvd2SsnFbS_BtHFO&amp;_nc_ohc=kLZJDRtLjrwQ7kNvwE36dUE&amp;_nc_gid=8LMas9TPEnlhBs0AYC_fuA&amp;edm=AI-cjbYBAAAA&amp;ccb=7-5&amp;oh=00_Af2tjoIb3_5vT-4GYTy30Nhd3gy1fWMpvD-rzr-kDA9Lvw&amp;oe=69D896BC&amp;_nc_sid=0985b0</t>
  </si>
  <si>
    <t>flavioratinho</t>
  </si>
  <si>
    <t>Tripulação de máscara e passageiros sem???? Confere?????</t>
  </si>
  <si>
    <t>07/12/2022, 16:14:20</t>
  </si>
  <si>
    <t>https://www.instagram.com/flavioratinho</t>
  </si>
  <si>
    <t>https://instagram.fcgh5-2.fna.fbcdn.net/v/t51.2885-19/497633458_18502003720053304_670956419006266092_n.jpg?stp=dst-jpg_s150x150_tt6&amp;efg=eyJ2ZW5jb2RlX3RhZyI6InByb2ZpbGVfcGljLmRqYW5nby43MjAuYzIifQ&amp;_nc_ht=instagram.fcgh5-2.fna.fbcdn.net&amp;_nc_cat=104&amp;_nc_oc=Q6cZ2gHIja1io9BZmwp2lhTait6EVLmobOLsUgACmwM_NYXUwjv8NvuifjK2NatibuMpmlgga1zcTpWxIJU1e8yuhSqV&amp;_nc_ohc=R9u5BaQ5sKkQ7kNvwH4TV9l&amp;_nc_gid=dzcKLFzZW3AjVK5J4Ik4FA&amp;edm=AI-cjbYBAAAA&amp;ccb=7-5&amp;oh=00_Af24FNqajJPNE0LdKifQlCxWp0xAOUgvwF1_cM-JghPD5A&amp;oe=69D8C1F2&amp;_nc_sid=0985b0</t>
  </si>
  <si>
    <t>Sobre os passageiros, a Latam não divulgou, apenas da tripulação e adesivagem da aeronave</t>
  </si>
  <si>
    <t>09/12/2022, 12:47:36</t>
  </si>
  <si>
    <t>https://instagram.fcgh5-2.fna.fbcdn.net/v/t51.82787-19/574233390_18393115045123935_8706979050179224508_n.jpg?stp=dst-jpg_s150x150_tt6&amp;efg=eyJ2ZW5jb2RlX3RhZyI6InByb2ZpbGVfcGljLmRqYW5nby4xMDgwLmMyIn0&amp;_nc_ht=instagram.fcgh5-2.fna.fbcdn.net&amp;_nc_cat=103&amp;_nc_oc=Q6cZ2gHIja1io9BZmwp2lhTait6EVLmobOLsUgACmwM_NYXUwjv8NvuifjK2NatibuMpmlgga1zcTpWxIJU1e8yuhSqV&amp;_nc_ohc=DthU4rOQI7wQ7kNvwFUA_tX&amp;_nc_gid=dzcKLFzZW3AjVK5J4Ik4FA&amp;edm=AI-cjbYBAAAA&amp;ccb=7-5&amp;oh=00_Af1lG0leyP6-I_ro2uyFjdekTwZEQtCyuIi6KubDZ7VYeQ&amp;oe=69D8BA9A&amp;_nc_sid=0985b0</t>
  </si>
  <si>
    <t>Esse foi o voo que estava liberado o uso de máscaras pelos passageiros né? Que legal.......</t>
  </si>
  <si>
    <t>09/12/2022, 13:28:53</t>
  </si>
  <si>
    <t>https://instagram.fcgh5-2.fna.fbcdn.net/v/t51.2885-19/497633458_18502003720053304_670956419006266092_n.jpg?stp=dst-jpg_s150x150_tt6&amp;efg=eyJ2ZW5jb2RlX3RhZyI6InByb2ZpbGVfcGljLmRqYW5nby43MjAuYzIifQ&amp;_nc_ht=instagram.fcgh5-2.fna.fbcdn.net&amp;_nc_cat=104&amp;_nc_oc=Q6cZ2gEhhn7d74J4aUYP2tVmwi3G5N6LwJL4AuhIc3xQGEzt1ngth_-_s0pgMrpshVz8tDuN9_SnNDuWmMzYdTGDNWeB&amp;_nc_ohc=R9u5BaQ5sKkQ7kNvwH4TV9l&amp;_nc_gid=LrzW2Foe_5JBwbElx43Quw&amp;edm=AI-cjbYBAAAA&amp;ccb=7-5&amp;oh=00_Af1McedGHFaDto4SMOHfLiqtemXkhpId9RusVkGmJIrWEA&amp;oe=69D8C1F2&amp;_nc_sid=0985b0</t>
  </si>
  <si>
    <t>As imagens divulgadas pela Latam mostram a tripulação e a comunicação visual da aeronave.</t>
  </si>
  <si>
    <t>09/12/2022, 13:44:24</t>
  </si>
  <si>
    <t>https://instagram.fcgh5-2.fna.fbcdn.net/v/t51.82787-19/574233390_18393115045123935_8706979050179224508_n.jpg?stp=dst-jpg_s150x150_tt6&amp;efg=eyJ2ZW5jb2RlX3RhZyI6InByb2ZpbGVfcGljLmRqYW5nby4xMDgwLmMyIn0&amp;_nc_ht=instagram.fcgh5-2.fna.fbcdn.net&amp;_nc_cat=103&amp;_nc_oc=Q6cZ2gEhhn7d74J4aUYP2tVmwi3G5N6LwJL4AuhIc3xQGEzt1ngth_-_s0pgMrpshVz8tDuN9_SnNDuWmMzYdTGDNWeB&amp;_nc_ohc=DthU4rOQI7wQ7kNvwFUA_tX&amp;_nc_gid=LrzW2Foe_5JBwbElx43Quw&amp;edm=AI-cjbYBAAAA&amp;ccb=7-5&amp;oh=00_Af3XoCPeH5TOO1T9KD3O_jpXT3a656XxL5UENIkKaSRzYQ&amp;oe=69D8BA9A&amp;_nc_sid=0985b0</t>
  </si>
  <si>
    <t>luciano_mendes2791</t>
  </si>
  <si>
    <t>Ué… Kd o 7 x 1 de 2014? Faltou</t>
  </si>
  <si>
    <t>09/12/2022, 18:18:04</t>
  </si>
  <si>
    <t>https://www.instagram.com/luciano_mendes2791</t>
  </si>
  <si>
    <t>https://instagram.fcgh5-1.fna.fbcdn.net/v/t51.2885-19/482582917_1728510641062556_3537935381282496281_n.jpg?stp=dst-jpg_s150x150_tt6&amp;efg=eyJ2ZW5jb2RlX3RhZyI6InByb2ZpbGVfcGljLmRqYW5nby45NTguYzIifQ&amp;_nc_ht=instagram.fcgh5-1.fna.fbcdn.net&amp;_nc_cat=108&amp;_nc_oc=Q6cZ2gGOWkD7oXYqUDJTWuWm54FqvxA3jhEYDtZ4f__QZcO1ionuV8_R9-Wdc7yQNe6AOCMtnk2K3lt74SHpohftY4kN&amp;_nc_ohc=2j4nS5ptD5sQ7kNvwE2W-QB&amp;_nc_gid=mz-_c91gRYtqQtC24-RVSg&amp;edm=AI-cjbYBAAAA&amp;ccb=7-5&amp;oh=00_Af2GS3cwsLuY9ZN5opwWKwrGzLVj11BxyVvptilMJzyLtQ&amp;oe=69D8A9B9&amp;_nc_sid=0985b0</t>
  </si>
  <si>
    <t>@lucianomendes0712 Verdade!!, não podemos esquecer, agradecemos por lembrar</t>
  </si>
  <si>
    <t>09/12/2022, 18:19:57</t>
  </si>
  <si>
    <t>https://instagram.fcgh5-2.fna.fbcdn.net/v/t51.82787-19/574233390_18393115045123935_8706979050179224508_n.jpg?stp=dst-jpg_s150x150_tt6&amp;efg=eyJ2ZW5jb2RlX3RhZyI6InByb2ZpbGVfcGljLmRqYW5nby4xMDgwLmMyIn0&amp;_nc_ht=instagram.fcgh5-2.fna.fbcdn.net&amp;_nc_cat=103&amp;_nc_oc=Q6cZ2gGOWkD7oXYqUDJTWuWm54FqvxA3jhEYDtZ4f__QZcO1ionuV8_R9-Wdc7yQNe6AOCMtnk2K3lt74SHpohftY4kN&amp;_nc_ohc=DthU4rOQI7wQ7kNvwFUA_tX&amp;_nc_gid=mz-_c91gRYtqQtC24-RVSg&amp;edm=AI-cjbYBAAAA&amp;ccb=7-5&amp;oh=00_Af3jKfGoCnG3CX7756_Y6cpy3BMxtqtB3Ghm1Bb9a6B4xw&amp;oe=69D8BA9A&amp;_nc_sid=0985b0</t>
  </si>
  <si>
    <t>https://instagram.fcgh5-1.fna.fbcdn.net/v/t51.2885-19/482582917_1728510641062556_3537935381282496281_n.jpg?stp=dst-jpg_s150x150_tt6&amp;efg=eyJ2ZW5jb2RlX3RhZyI6InByb2ZpbGVfcGljLmRqYW5nby45NTguYzIifQ&amp;_nc_ht=instagram.fcgh5-1.fna.fbcdn.net&amp;_nc_cat=108&amp;_nc_oc=Q6cZ2gGBLBWTo6SPj_XSU9tTzBWmxd_UakHq7R2VY69SkasazHzjL1iWTKvW0gyK0eg4xECh9hz2YC2b7PRYoacsgBaF&amp;_nc_ohc=2j4nS5ptD5sQ7kNvwE2W-QB&amp;_nc_gid=kpMy7-7oySdBhYN1kVLpVw&amp;edm=AI-cjbYBAAAA&amp;ccb=7-5&amp;oh=00_Af0lOFAU0iCV_dOttM0-jyc-GUJ742kCiARYN0rBZe6UVA&amp;oe=69D8A9B9&amp;_nc_sid=0985b0</t>
  </si>
  <si>
    <t>https://instagram.fcgh5-2.fna.fbcdn.net/v/t51.82787-19/574233390_18393115045123935_8706979050179224508_n.jpg?stp=dst-jpg_s150x150_tt6&amp;efg=eyJ2ZW5jb2RlX3RhZyI6InByb2ZpbGVfcGljLmRqYW5nby4xMDgwLmMyIn0&amp;_nc_ht=instagram.fcgh5-2.fna.fbcdn.net&amp;_nc_cat=103&amp;_nc_oc=Q6cZ2gGBLBWTo6SPj_XSU9tTzBWmxd_UakHq7R2VY69SkasazHzjL1iWTKvW0gyK0eg4xECh9hz2YC2b7PRYoacsgBaF&amp;_nc_ohc=DthU4rOQI7wQ7kNvwFUA_tX&amp;_nc_gid=kpMy7-7oySdBhYN1kVLpVw&amp;edm=AI-cjbYBAAAA&amp;ccb=7-5&amp;oh=00_Af2u2pdmtUF2C2h5ha0_krDyvjFvL_j3PdAD4aM8JfkOTA&amp;oe=69D8BA9A&amp;_nc_sid=0985b0</t>
  </si>
  <si>
    <t>snaeroviarios</t>
  </si>
  <si>
    <t>🙏🏾👍🏾</t>
  </si>
  <si>
    <t>26/12/2022, 17:14:01</t>
  </si>
  <si>
    <t>https://www.instagram.com/snaeroviarios</t>
  </si>
  <si>
    <t>https://instagram.fcgh5-1.fna.fbcdn.net/v/t51.2885-19/57133932_411934029359278_8210316344105631744_n.jpg?stp=dst-jpg_s150x150_tt6&amp;efg=eyJ2ZW5jb2RlX3RhZyI6InByb2ZpbGVfcGljLmRqYW5nby44MDAuYzIifQ&amp;_nc_ht=instagram.fcgh5-1.fna.fbcdn.net&amp;_nc_cat=110&amp;_nc_oc=Q6cZ2gGj65bSRDeCwrZyKkZHiMRLiOWq7ffoeTVeaTCrjLHNwaJew4_r69m8s8xVL0Y1c96zcSsyFd7cvuYBeBY8Xwtl&amp;_nc_ohc=3MJR37KVHV0Q7kNvwE_kCBz&amp;_nc_gid=C72jB5wnfXp8x1eZNYX0lQ&amp;edm=AI-cjbYBAAAA&amp;ccb=7-5&amp;oh=00_Af2ln9vGt3fP--weWU6Ob4X23rKUPsm4tETe5q7gbN1pSw&amp;oe=69D89368&amp;_nc_sid=0985b0</t>
  </si>
  <si>
    <t>jully_0.11</t>
  </si>
  <si>
    <t>Promote it on @emperorpod</t>
  </si>
  <si>
    <t>22/04/2021, 11:52:00</t>
  </si>
  <si>
    <t>https://www.instagram.com/jully_0.11</t>
  </si>
  <si>
    <t>https://instagram.fcgh5-1.fna.fbcdn.net/v/t51.2885-19/156632472_130930865540733_2647093325051364001_n.jpg?stp=dst-jpg_s150x150_tt6&amp;efg=eyJ2ZW5jb2RlX3RhZyI6InByb2ZpbGVfcGljLmRqYW5nby41NTQuYzIifQ&amp;_nc_ht=instagram.fcgh5-1.fna.fbcdn.net&amp;_nc_cat=109&amp;_nc_oc=Q6cZ2gEEZOzAM6HvYxLL_O90yhNB1YOA4IW_lD7aXANpossUnzw6aQJoyLM7y0cX4MMkCmwTOSGYfEOuFj0YKjo4Y4Qt&amp;_nc_ohc=gL864RFQstUQ7kNvwF7EaBm&amp;_nc_gid=D83zDRpKWSB2zf8YmSE6vg&amp;edm=AI-cjbYBAAAA&amp;ccb=7-5&amp;oh=00_Af3s9WdZgQWm10uWWTi8vkWNdhdZxV04xDXiP3Ui4uN_2g&amp;oe=69D8C4CB&amp;_nc_sid=0985b0</t>
  </si>
  <si>
    <t>https://instagram.fcgh5-1.fna.fbcdn.net/v/t51.2885-19/156632472_130930865540733_2647093325051364001_n.jpg?stp=dst-jpg_s150x150_tt6&amp;efg=eyJ2ZW5jb2RlX3RhZyI6InByb2ZpbGVfcGljLmRqYW5nby41NTQuYzIifQ&amp;_nc_ht=instagram.fcgh5-1.fna.fbcdn.net&amp;_nc_cat=109&amp;_nc_oc=Q6cZ2gHUgTV0tG2sWD-ihj5LrfDu2qKkg_v9MRh4uYXDJAacy1mNfCscBKw_jxKVdrynYEu-PRvgKJuiJHa5zBjckvNl&amp;_nc_ohc=gL864RFQstUQ7kNvwF7EaBm&amp;_nc_gid=lIeTjH9q95nDgyoKfDLv3g&amp;edm=AI-cjbYBAAAA&amp;ccb=7-5&amp;oh=00_Af0mZpLP1omVk6y0j3ZCEXbhgB752NBEz5zpk8LKfBwDJA&amp;oe=69D8C4CB&amp;_nc_sid=0985b0</t>
  </si>
  <si>
    <t>viamundotransportes</t>
  </si>
  <si>
    <t>👏🏾</t>
  </si>
  <si>
    <t>12/04/2021, 18:04:43</t>
  </si>
  <si>
    <t>https://www.instagram.com/viamundotransportes</t>
  </si>
  <si>
    <t>https://instagram.fcgh5-2.fna.fbcdn.net/v/t51.2885-19/270559907_453737893047123_7629566668004110238_n.jpg?stp=dst-jpg_s150x150_tt6&amp;efg=eyJ2ZW5jb2RlX3RhZyI6InByb2ZpbGVfcGljLmRqYW5nby44NjQuYzIifQ&amp;_nc_ht=instagram.fcgh5-2.fna.fbcdn.net&amp;_nc_cat=103&amp;_nc_oc=Q6cZ2gF4gP4WAsF9iMXlGkip_RY-S0riSyAFp6xHeBX-HCsCQX6wkUjx8V8w1XqoWnQW4gduV3Tq39QJAaIokw9DMQAm&amp;_nc_ohc=uAa-Ic0lEswQ7kNvwFGlIK8&amp;_nc_gid=0niCFs-yDU_rH10_p-0gNQ&amp;edm=AI-cjbYBAAAA&amp;ccb=7-5&amp;oh=00_Af0f-hlFd5U9-4bkzdI9hYkh4wpR5Dspw69msDADU46H1w&amp;oe=69D89F38&amp;_nc_sid=0985b0</t>
  </si>
  <si>
    <t>michaelbrownioefkhqdjc</t>
  </si>
  <si>
    <t>Fantastic
 picture, we 'd  like to  collaborate with you for
more info message our main account in my
 biography</t>
  </si>
  <si>
    <t>20/01/2023, 07:22:07</t>
  </si>
  <si>
    <t>https://www.instagram.com/michaelbrownioefkhqdjc</t>
  </si>
  <si>
    <t>https://instagram.fcgh5-2.fna.fbcdn.net/v/t51.2885-19/324869236_1472759089918576_8247226281404457004_n.jpg?stp=dst-jpg_s150x150_tt6&amp;efg=eyJ2ZW5jb2RlX3RhZyI6InByb2ZpbGVfcGljLmRqYW5nby4xMDI0LmMyIn0&amp;_nc_ht=instagram.fcgh5-2.fna.fbcdn.net&amp;_nc_cat=104&amp;_nc_oc=Q6cZ2gFoU1vaifBDfgA5OHtGGtwolwBXMqAxidHu7Dir8QqYova3Ki8ftz3pTAbm61WSmD5xY89K0yBTlAZxNZFAikrf&amp;_nc_ohc=il0m5jDAtvEQ7kNvwG0DMNL&amp;_nc_gid=0Bw1ZysrXBmzaCxKsMWpPA&amp;edm=AI-cjbYBAAAA&amp;ccb=7-5&amp;oh=00_Af2dqrfMUIUlvm4LnDNw94pooG5em3YNrKIMVAVQAKAAoQ&amp;oe=69D89230&amp;_nc_sid=0985b0</t>
  </si>
  <si>
    <t>É muito importante a participação de todos e todas!</t>
  </si>
  <si>
    <t>12/01/2023, 12:17:39</t>
  </si>
  <si>
    <t>https://instagram.fcgh5-1.fna.fbcdn.net/v/t51.2885-19/57133932_411934029359278_8210316344105631744_n.jpg?stp=dst-jpg_s150x150_tt6&amp;efg=eyJ2ZW5jb2RlX3RhZyI6InByb2ZpbGVfcGljLmRqYW5nby44MDAuYzIifQ&amp;_nc_ht=instagram.fcgh5-1.fna.fbcdn.net&amp;_nc_cat=110&amp;_nc_oc=Q6cZ2gGeD6c0G5pU7D7d3-X2mpgLHN7CRbTbA54WuzZnenZZDQqQpt0AGCksFJmc3obolHY9XQxTu5asFx89jMR1Jwy5&amp;_nc_ohc=3MJR37KVHV0Q7kNvwE_kCBz&amp;_nc_gid=-tvMYlB6H3OpAjawalP70w&amp;edm=AI-cjbYBAAAA&amp;ccb=7-5&amp;oh=00_Af37hJ1i0RyWqra8vFsr1FkoSiOTZDAmYcQ_Ez7aKELhWw&amp;oe=69D89368&amp;_nc_sid=0985b0</t>
  </si>
  <si>
    <t>https://instagram.fcgh5-1.fna.fbcdn.net/v/t51.2885-19/57133932_411934029359278_8210316344105631744_n.jpg?stp=dst-jpg_s150x150_tt6&amp;efg=eyJ2ZW5jb2RlX3RhZyI6InByb2ZpbGVfcGljLmRqYW5nby44MDAuYzIifQ&amp;_nc_ht=instagram.fcgh5-1.fna.fbcdn.net&amp;_nc_cat=110&amp;_nc_oc=Q6cZ2gEp166AUWN-ci51Feqocj3U1NgXVaALNvdDjhywfTN3FPHlcNupRErhS9dHSij00fk4IcHbq8ib3-yMlsite4J_&amp;_nc_ohc=3MJR37KVHV0Q7kNvwE_kCBz&amp;_nc_gid=CcCUNr49vZZ7_T07MZQTEw&amp;edm=AI-cjbYBAAAA&amp;ccb=7-5&amp;oh=00_Af1w0EbNstFCjWl2NieSfXj6ApJ11Qa65dKKGnscRwpWMA&amp;oe=69D89368&amp;_nc_sid=0985b0</t>
  </si>
  <si>
    <t>De fato é um problema de saúde pública gravíssimo!</t>
  </si>
  <si>
    <t>22/05/2021, 10:03:05</t>
  </si>
  <si>
    <t>https://instagram.fcgh5-2.fna.fbcdn.net/v/t51.82787-19/574233390_18393115045123935_8706979050179224508_n.jpg?stp=dst-jpg_s150x150_tt6&amp;efg=eyJ2ZW5jb2RlX3RhZyI6InByb2ZpbGVfcGljLmRqYW5nby4xMDgwLmMyIn0&amp;_nc_ht=instagram.fcgh5-2.fna.fbcdn.net&amp;_nc_cat=103&amp;_nc_oc=Q6cZ2gFxr7qPKt26ZBwrCLugrYYpJS_zNfb7KXwUdBdK0Rh8h6b2FIES0dQjeUgyvmM9ki0HkqNxpUvzrOKrbOijjl0m&amp;_nc_ohc=DthU4rOQI7wQ7kNvwFUA_tX&amp;_nc_gid=0PjOdvdeM_G6Hf0XcIrujw&amp;edm=AI-cjbYBAAAA&amp;ccb=7-5&amp;oh=00_Af0sqU-LWdNCUAilR6sj08HNa1tcAxXklIyZQCBLjoNHWg&amp;oe=69D8BA9A&amp;_nc_sid=0985b0</t>
  </si>
  <si>
    <t>https://instagram.fcgh5-2.fna.fbcdn.net/v/t51.82787-19/574233390_18393115045123935_8706979050179224508_n.jpg?stp=dst-jpg_s150x150_tt6&amp;efg=eyJ2ZW5jb2RlX3RhZyI6InByb2ZpbGVfcGljLmRqYW5nby4xMDgwLmMyIn0&amp;_nc_ht=instagram.fcgh5-2.fna.fbcdn.net&amp;_nc_cat=103&amp;_nc_oc=Q6cZ2gGf_nO-12aOIgtuOouIapAATWC71Q_KvvUKQftTyzIboy24nC7cLJTomzb0TNExSk3Qfbyup57g0fcwXMv1h--2&amp;_nc_ohc=DthU4rOQI7wQ7kNvwFUA_tX&amp;_nc_gid=Wm4F9JCsqPTJbuz-LU-51g&amp;edm=AI-cjbYBAAAA&amp;ccb=7-5&amp;oh=00_Af2EGTvHSk8bnPc1dNeumy8dy9pqQNv60OTlKa0vt4rI5g&amp;oe=69D8BA9A&amp;_nc_sid=0985b0</t>
  </si>
  <si>
    <t>analauragomes2009</t>
  </si>
  <si>
    <t>A Ação da Cidadania está trabalhando há 30 anos para combater a fome, mas o problema foi os últimos 4 anos. 😜</t>
  </si>
  <si>
    <t>30/01/2023, 17:48:56</t>
  </si>
  <si>
    <t>https://www.instagram.com/analauragomes2009</t>
  </si>
  <si>
    <t>https://instagram.fcgh5-2.fna.fbcdn.net/v/t51.2885-19/26863289_1957890731128300_4977313496254382080_n.jpg?stp=dst-jpg_s150x150_tt6&amp;efg=eyJ2ZW5jb2RlX3RhZyI6InByb2ZpbGVfcGljLmRqYW5nby43MjAuYzIifQ&amp;_nc_ht=instagram.fcgh5-2.fna.fbcdn.net&amp;_nc_cat=104&amp;_nc_oc=Q6cZ2gGXbdstRdmXncjF_do5Ribkokt3ZdKPytGNd-UmgYOMtSAhg9m3khzEUypoHtOVOUbac2NAAx0jW5LYvBqQU73l&amp;_nc_ohc=tK8DXVlBlikQ7kNvwFtiKIO&amp;_nc_gid=tVD6DzbIU_WTDJm_WlgfKA&amp;edm=AI-cjbYBAAAA&amp;ccb=7-5&amp;oh=00_Af2yQvN8wNx_0VzaEwc32QbkYReq0RuVi3uPX0BHLcCqKA&amp;oe=69D8A696&amp;_nc_sid=0985b0</t>
  </si>
  <si>
    <t>@analauragomes2009 exatamente, lamentável o que estamos vendo com povo Yanomami, nosso povo</t>
  </si>
  <si>
    <t>30/01/2023, 17:50:49</t>
  </si>
  <si>
    <t>https://instagram.fcgh5-2.fna.fbcdn.net/v/t51.82787-19/574233390_18393115045123935_8706979050179224508_n.jpg?stp=dst-jpg_s150x150_tt6&amp;efg=eyJ2ZW5jb2RlX3RhZyI6InByb2ZpbGVfcGljLmRqYW5nby4xMDgwLmMyIn0&amp;_nc_ht=instagram.fcgh5-2.fna.fbcdn.net&amp;_nc_cat=103&amp;_nc_oc=Q6cZ2gGXbdstRdmXncjF_do5Ribkokt3ZdKPytGNd-UmgYOMtSAhg9m3khzEUypoHtOVOUbac2NAAx0jW5LYvBqQU73l&amp;_nc_ohc=DthU4rOQI7wQ7kNvwFUA_tX&amp;_nc_gid=tVD6DzbIU_WTDJm_WlgfKA&amp;edm=AI-cjbYBAAAA&amp;ccb=7-5&amp;oh=00_Af2d54twPjokLi4fUHevO5wpCbr_n-1mGATCLsmyzKgxfg&amp;oe=69D8BA9A&amp;_nc_sid=0985b0</t>
  </si>
  <si>
    <t>betabebelnaves</t>
  </si>
  <si>
    <t>Me assusta ver como existem pessoas que não se comovem com a morte de tantas crianças.. Mas, enfim, cada um oferece o que tem...</t>
  </si>
  <si>
    <t>31/01/2023, 08:17:58</t>
  </si>
  <si>
    <t>https://www.instagram.com/betabebelnaves</t>
  </si>
  <si>
    <t>https://instagram.fcgh5-2.fna.fbcdn.net/v/t51.2885-19/425336088_1129957868184544_5664389161930916356_n.jpg?stp=dst-jpg_s150x150_tt6&amp;efg=eyJ2ZW5jb2RlX3RhZyI6InByb2ZpbGVfcGljLmRqYW5nby4xMDgwLmMyIn0&amp;_nc_ht=instagram.fcgh5-2.fna.fbcdn.net&amp;_nc_cat=104&amp;_nc_oc=Q6cZ2gGXbdstRdmXncjF_do5Ribkokt3ZdKPytGNd-UmgYOMtSAhg9m3khzEUypoHtOVOUbac2NAAx0jW5LYvBqQU73l&amp;_nc_ohc=02GN84h7NvUQ7kNvwGGhOue&amp;_nc_gid=tVD6DzbIU_WTDJm_WlgfKA&amp;edm=AI-cjbYBAAAA&amp;ccb=7-5&amp;oh=00_Af1qwaIoJu4x5-V7yN_mVUqbYa66bpzjgEFhSZSSWUY1IA&amp;oe=69D8ACAA&amp;_nc_sid=0985b0</t>
  </si>
  <si>
    <t>https://instagram.fcgh5-2.fna.fbcdn.net/v/t51.2885-19/26863289_1957890731128300_4977313496254382080_n.jpg?stp=dst-jpg_s150x150_tt6&amp;efg=eyJ2ZW5jb2RlX3RhZyI6InByb2ZpbGVfcGljLmRqYW5nby43MjAuYzIifQ&amp;_nc_ht=instagram.fcgh5-2.fna.fbcdn.net&amp;_nc_cat=104&amp;_nc_oc=Q6cZ2gFKNM32XuyEcuQU1NFEKnjlrkOhjs-T1gCcKFh-DlJwMP8gMS0yiCYf1OaVtvr1arcuD3BEwIjOP7Kwwi2cGJpQ&amp;_nc_ohc=tK8DXVlBlikQ7kNvwFtiKIO&amp;_nc_gid=o0l2iCgiSMrgMAaujFV-Ng&amp;edm=AI-cjbYBAAAA&amp;ccb=7-5&amp;oh=00_Af1TJ0hsIySuCtqQRLMwXnL8Qj8DhHOIgOP8tRE-o4_ysQ&amp;oe=69D8A696&amp;_nc_sid=0985b0</t>
  </si>
  <si>
    <t>https://instagram.fcgh5-2.fna.fbcdn.net/v/t51.82787-19/574233390_18393115045123935_8706979050179224508_n.jpg?stp=dst-jpg_s150x150_tt6&amp;efg=eyJ2ZW5jb2RlX3RhZyI6InByb2ZpbGVfcGljLmRqYW5nby4xMDgwLmMyIn0&amp;_nc_ht=instagram.fcgh5-2.fna.fbcdn.net&amp;_nc_cat=103&amp;_nc_oc=Q6cZ2gFKNM32XuyEcuQU1NFEKnjlrkOhjs-T1gCcKFh-DlJwMP8gMS0yiCYf1OaVtvr1arcuD3BEwIjOP7Kwwi2cGJpQ&amp;_nc_ohc=DthU4rOQI7wQ7kNvwFUA_tX&amp;_nc_gid=o0l2iCgiSMrgMAaujFV-Ng&amp;edm=AI-cjbYBAAAA&amp;ccb=7-5&amp;oh=00_Af3q0YYs9xXFKU0hJi9MKPeP1wRFgdHmk3Bk4FhhIWurxQ&amp;oe=69D8BA9A&amp;_nc_sid=0985b0</t>
  </si>
  <si>
    <t>https://instagram.fcgh5-2.fna.fbcdn.net/v/t51.2885-19/425336088_1129957868184544_5664389161930916356_n.jpg?stp=dst-jpg_s150x150_tt6&amp;efg=eyJ2ZW5jb2RlX3RhZyI6InByb2ZpbGVfcGljLmRqYW5nby4xMDgwLmMyIn0&amp;_nc_ht=instagram.fcgh5-2.fna.fbcdn.net&amp;_nc_cat=104&amp;_nc_oc=Q6cZ2gFKNM32XuyEcuQU1NFEKnjlrkOhjs-T1gCcKFh-DlJwMP8gMS0yiCYf1OaVtvr1arcuD3BEwIjOP7Kwwi2cGJpQ&amp;_nc_ohc=02GN84h7NvUQ7kNvwGGhOue&amp;_nc_gid=o0l2iCgiSMrgMAaujFV-Ng&amp;edm=AI-cjbYBAAAA&amp;ccb=7-5&amp;oh=00_Af37IcTD4ISnWXVYE_KnWvcCSeY4i-99N8GtGxyq1At4OA&amp;oe=69D8ACAA&amp;_nc_sid=0985b0</t>
  </si>
  <si>
    <t>04/06/2021, 22:32:35</t>
  </si>
  <si>
    <t>https://instagram.fcgh5-2.fna.fbcdn.net/v/t51.2885-19/412758141_382391784160021_75100544346182507_n.jpg?stp=dst-jpg_s150x150_tt6&amp;efg=eyJ2ZW5jb2RlX3RhZyI6InByb2ZpbGVfcGljLmRqYW5nby44MjguYzIifQ&amp;_nc_ht=instagram.fcgh5-2.fna.fbcdn.net&amp;_nc_cat=101&amp;_nc_oc=Q6cZ2gGFjeU046_DCg_DVjAPADsc_U1tSY34dippDyrjkINpCeUK9SPDk9wPGOFiy9xfzbJniJIIi8PoECmXGJF2QdFa&amp;_nc_ohc=XwMPGgsC2WIQ7kNvwFlpSLM&amp;_nc_gid=ojTSyoKcTL9Jahbj9dPoFg&amp;edm=AI-cjbYBAAAA&amp;ccb=7-5&amp;oh=00_Af28RcslqjW6BSJBjcmKtoL1tf_RSx7JbkKz7qY76lp_yQ&amp;oe=69D8C15D&amp;_nc_sid=0985b0</t>
  </si>
  <si>
    <t>👏👏👏👏❤️</t>
  </si>
  <si>
    <t>23/06/2021, 23:37:49</t>
  </si>
  <si>
    <t>https://instagram.fcgh5-1.fna.fbcdn.net/v/t51.2885-19/472617238_525886763802902_1003874259540328703_n.jpg?stp=dst-jpg_s150x150_tt6&amp;efg=eyJ2ZW5jb2RlX3RhZyI6InByb2ZpbGVfcGljLmRqYW5nby45NTMuYzIifQ&amp;_nc_ht=instagram.fcgh5-1.fna.fbcdn.net&amp;_nc_cat=102&amp;_nc_oc=Q6cZ2gHJ2vl8Ag38auwA88hCYlKgJhaIkbiaG0WpZIEjSpn1NT2uDdzqzKWY8wIQdwwiM-SDRJiqFOn8LikycErB2ejr&amp;_nc_ohc=r4-F1D-A6KkQ7kNvwGM76EO&amp;_nc_gid=PBpIYRjNe3MXtZ3yPl_Iag&amp;edm=AI-cjbYBAAAA&amp;ccb=7-5&amp;oh=00_Af2O4RIHi2ewK3J5SYV0PZg6LXPjV2A8hcLa-RkdIekdqA&amp;oe=69D8A459&amp;_nc_sid=0985b0</t>
  </si>
  <si>
    <t>patricia.trabajo</t>
  </si>
  <si>
    <t>@snaeroviarios @claudia.sousafonseca</t>
  </si>
  <si>
    <t>24/08/2021, 11:38:49</t>
  </si>
  <si>
    <t>https://www.instagram.com/patricia.trabajo</t>
  </si>
  <si>
    <t>https://instagram.fcgh5-2.fna.fbcdn.net/v/t51.2885-19/353130805_2047696522257421_6132604364941262418_n.jpg?stp=dst-jpg_s150x150_tt6&amp;efg=eyJ2ZW5jb2RlX3RhZyI6InByb2ZpbGVfcGljLmRqYW5nby42NTYuYzIifQ&amp;_nc_ht=instagram.fcgh5-2.fna.fbcdn.net&amp;_nc_cat=101&amp;_nc_oc=Q6cZ2gHJ2vl8Ag38auwA88hCYlKgJhaIkbiaG0WpZIEjSpn1NT2uDdzqzKWY8wIQdwwiM-SDRJiqFOn8LikycErB2ejr&amp;_nc_ohc=56WJAJb7hHkQ7kNvwG53zLZ&amp;_nc_gid=PBpIYRjNe3MXtZ3yPl_Iag&amp;edm=AI-cjbYBAAAA&amp;ccb=7-5&amp;oh=00_Af0rpCDJWumIxDpV55za6JS0KC4Qk2DJnyW3HWrnj_mwpA&amp;oe=69D8B226&amp;_nc_sid=0985b0</t>
  </si>
  <si>
    <t>💪🏾❤️</t>
  </si>
  <si>
    <t>24/08/2021, 12:02:03</t>
  </si>
  <si>
    <t>https://instagram.fcgh5-1.fna.fbcdn.net/v/t51.2885-19/57133932_411934029359278_8210316344105631744_n.jpg?stp=dst-jpg_s150x150_tt6&amp;efg=eyJ2ZW5jb2RlX3RhZyI6InByb2ZpbGVfcGljLmRqYW5nby44MDAuYzIifQ&amp;_nc_ht=instagram.fcgh5-1.fna.fbcdn.net&amp;_nc_cat=110&amp;_nc_oc=Q6cZ2gHJ2vl8Ag38auwA88hCYlKgJhaIkbiaG0WpZIEjSpn1NT2uDdzqzKWY8wIQdwwiM-SDRJiqFOn8LikycErB2ejr&amp;_nc_ohc=3MJR37KVHV0Q7kNvwE_kCBz&amp;_nc_gid=PBpIYRjNe3MXtZ3yPl_Iag&amp;edm=AI-cjbYBAAAA&amp;ccb=7-5&amp;oh=00_Af3Erk11n3CwIME4UtjXJImP_j1c-gHlBDDVAqwVgwaPwA&amp;oe=69D8CBA8&amp;_nc_sid=0985b0</t>
  </si>
  <si>
    <t>Coisa linda 😍🧡👏🏾</t>
  </si>
  <si>
    <t>29/07/2021, 13:20:12</t>
  </si>
  <si>
    <t>https://instagram.fcgh5-2.fna.fbcdn.net/v/t51.2885-19/270559907_453737893047123_7629566668004110238_n.jpg?stp=dst-jpg_s150x150_tt6&amp;efg=eyJ2ZW5jb2RlX3RhZyI6InByb2ZpbGVfcGljLmRqYW5nby44NjQuYzIifQ&amp;_nc_ht=instagram.fcgh5-2.fna.fbcdn.net&amp;_nc_cat=103&amp;_nc_oc=Q6cZ2gG9qeggSzCd0kj08kr9NNphmO82zgewHOSQjf5QET1PyiEJjLDhQyOJ-uB5Utj7XH9oQ67_7U-VpU3Oq0vZDjfW&amp;_nc_ohc=uAa-Ic0lEswQ7kNvwFGlIK8&amp;_nc_gid=_gPPEwp-t2cdxPyZzi7_0Q&amp;edm=AI-cjbYBAAAA&amp;ccb=7-5&amp;oh=00_Af3qjdlViavCI8I6NkrQ6uSyD5CzhFjDBkvsMSOnreGGWw&amp;oe=69D89F38&amp;_nc_sid=0985b0</t>
  </si>
  <si>
    <t>https://instagram.fcgh5-2.fna.fbcdn.net/v/t51.2885-19/270559907_453737893047123_7629566668004110238_n.jpg?stp=dst-jpg_s150x150_tt6&amp;efg=eyJ2ZW5jb2RlX3RhZyI6InByb2ZpbGVfcGljLmRqYW5nby44NjQuYzIifQ&amp;_nc_ht=instagram.fcgh5-2.fna.fbcdn.net&amp;_nc_cat=103&amp;_nc_oc=Q6cZ2gF110WCmIDwKPTUcp530XctRrcEmcabTOmIoyvjIJSyi7R8MJzI_zlbBZC0-9KvreU_8JbPCufemAMeLUazIaj_&amp;_nc_ohc=uAa-Ic0lEswQ7kNvwFGlIK8&amp;_nc_gid=qifxbDzWk13kmJ9S-WWmMw&amp;edm=AI-cjbYBAAAA&amp;ccb=7-5&amp;oh=00_Af3fo1REY_ko-ZgN_OFh3a46H4EsABXaCnX2RnsBkfahnA&amp;oe=69D89F38&amp;_nc_sid=0985b0</t>
  </si>
  <si>
    <t>cute.cat_sophia</t>
  </si>
  <si>
    <t>Send pic on @wine__promotion</t>
  </si>
  <si>
    <t>16/04/2023, 12:09:32</t>
  </si>
  <si>
    <t>https://www.instagram.com/cute.cat_sophia</t>
  </si>
  <si>
    <t>https://instagram.fcgh5-2.fna.fbcdn.net/v/t51.2885-19/422859125_415222360845427_4112720625415209537_n.jpg?stp=dst-jpg_s150x150_tt6&amp;efg=eyJ2ZW5jb2RlX3RhZyI6InByb2ZpbGVfcGljLmRqYW5nby42NDAuYzIifQ&amp;_nc_ht=instagram.fcgh5-2.fna.fbcdn.net&amp;_nc_cat=107&amp;_nc_oc=Q6cZ2gFAA_rpnLt0_PTn3Zi-UWU4E2Pay9fVGZnpi9OgF5PWRzemntZ5XY39CUJJfu1oBr2t9F-7fFDZUvPZz5fSA7O7&amp;_nc_ohc=DKpWGlfOgVQQ7kNvwGvmo_c&amp;_nc_gid=6Exb_hZ3O4gukxwKpkrL4A&amp;edm=AI-cjbYBAAAA&amp;ccb=7-5&amp;oh=00_Af0ysYLhnR2SdRr71hGvKYdrtWTkvE1rrOyfR--2gfbaHA&amp;oe=69D8BA78&amp;_nc_sid=0985b0</t>
  </si>
  <si>
    <t>wines_brand_7</t>
  </si>
  <si>
    <t>SEND📸PIC🧘👉🍷👉 @WINES_BRAND</t>
  </si>
  <si>
    <t>16/04/2023, 12:11:26</t>
  </si>
  <si>
    <t>https://www.instagram.com/wines_brand_7</t>
  </si>
  <si>
    <t>https://instagram.fcgh5-2.fna.fbcdn.net/v/t51.2885-19/334163834_882373982993356_949372918914853538_n.jpg?stp=dst-jpg_s150x150_tt6&amp;efg=eyJ2ZW5jb2RlX3RhZyI6InByb2ZpbGVfcGljLmRqYW5nby41NjIuYzIifQ&amp;_nc_ht=instagram.fcgh5-2.fna.fbcdn.net&amp;_nc_cat=104&amp;_nc_oc=Q6cZ2gFAA_rpnLt0_PTn3Zi-UWU4E2Pay9fVGZnpi9OgF5PWRzemntZ5XY39CUJJfu1oBr2t9F-7fFDZUvPZz5fSA7O7&amp;_nc_ohc=z_O2jLMfGYoQ7kNvwF-ADnK&amp;_nc_gid=6Exb_hZ3O4gukxwKpkrL4A&amp;edm=AI-cjbYBAAAA&amp;ccb=7-5&amp;oh=00_Af3V0rakxTfobByMW3Bifs2Nhbxlo4HC_qj5IgAEdHRNYg&amp;oe=69D8A194&amp;_nc_sid=0985b0</t>
  </si>
  <si>
    <t>jerr_yhc7</t>
  </si>
  <si>
    <t>Love it dm✨@travel__gallery_</t>
  </si>
  <si>
    <t>19/07/2021, 17:25:42</t>
  </si>
  <si>
    <t>https://www.instagram.com/jerr_yhc7</t>
  </si>
  <si>
    <t>https://instagram.fcgh5-2.fna.fbcdn.net/v/t51.2885-19/218736969_888235375098616_8139327854287532031_n.jpg?stp=dst-jpg_s150x150_tt6&amp;efg=eyJ2ZW5jb2RlX3RhZyI6InByb2ZpbGVfcGljLmRqYW5nby4zNjAuYzIifQ&amp;_nc_ht=instagram.fcgh5-2.fna.fbcdn.net&amp;_nc_cat=104&amp;_nc_oc=Q6cZ2gENq_u5yswOLKkqxz1692FI1_TjN5tOPwS-WlIgjHPjwOlD_ghyOgsienjWU7hY_HPBdrNIdgkRXCc7FzC-Xngt&amp;_nc_ohc=8Ttm5AVez4EQ7kNvwGr3HlF&amp;_nc_gid=5d7fyUaURTU9YAiTq_xBXg&amp;edm=AI-cjbYBAAAA&amp;ccb=7-5&amp;oh=00_Af05BlrlIaJrbuaua8WMcvCCX3zHjeot57-ucGftq5BuRw&amp;oe=69D8AF54&amp;_nc_sid=0985b0</t>
  </si>
  <si>
    <t>linnea_gurjant01ch</t>
  </si>
  <si>
    <t>Love it 🔥on it @theaglesrecords</t>
  </si>
  <si>
    <t>23/07/2021, 16:57:07</t>
  </si>
  <si>
    <t>https://www.instagram.com/linnea_gurjant01ch</t>
  </si>
  <si>
    <t>https://instagram.fcgh5-2.fna.fbcdn.net/v/t51.2885-19/205117508_2615719108729840_7032263012586932588_n.jpg?stp=dst-jpg_s150x150_tt6&amp;efg=eyJ2ZW5jb2RlX3RhZyI6InByb2ZpbGVfcGljLmRqYW5nby42ODAuYzIifQ&amp;_nc_ht=instagram.fcgh5-2.fna.fbcdn.net&amp;_nc_cat=104&amp;_nc_oc=Q6cZ2gFz7viwIFV4L2t6NxPXNJQ-_sAxees669wDc10n7i_VpCltv-L1RHS9F7hzNVXyTjoKmJvlY44a9d8vPAw4EHAt&amp;_nc_ohc=yVN602t0hqEQ7kNvwGPlj8y&amp;_nc_gid=4Eg8Wf0gvOHjylItQREt3A&amp;edm=AI-cjbYBAAAA&amp;ccb=7-5&amp;oh=00_Af1Ct-8jZPkdxUoDcDYx5OYwwETbfpz5Amy44Wan9jW7Ug&amp;oe=69D8B608&amp;_nc_sid=0985b0</t>
  </si>
  <si>
    <t>23/07/2021, 21:09:14</t>
  </si>
  <si>
    <t>https://instagram.fcgh5-2.fna.fbcdn.net/v/t51.2885-19/270559907_453737893047123_7629566668004110238_n.jpg?stp=dst-jpg_s150x150_tt6&amp;efg=eyJ2ZW5jb2RlX3RhZyI6InByb2ZpbGVfcGljLmRqYW5nby44NjQuYzIifQ&amp;_nc_ht=instagram.fcgh5-2.fna.fbcdn.net&amp;_nc_cat=103&amp;_nc_oc=Q6cZ2gFz7viwIFV4L2t6NxPXNJQ-_sAxees669wDc10n7i_VpCltv-L1RHS9F7hzNVXyTjoKmJvlY44a9d8vPAw4EHAt&amp;_nc_ohc=uAa-Ic0lEswQ7kNvwFGlIK8&amp;_nc_gid=4Eg8Wf0gvOHjylItQREt3A&amp;edm=AI-cjbYBAAAA&amp;ccb=7-5&amp;oh=00_Af1ahhUZ8Io60YD4B-g1j7VNcRYHu3x2oeMQ6St7Vvbt0Q&amp;oe=69D89F38&amp;_nc_sid=0985b0</t>
  </si>
  <si>
    <t>https://instagram.fcgh5-2.fna.fbcdn.net/v/t51.2885-19/205117508_2615719108729840_7032263012586932588_n.jpg?stp=dst-jpg_s150x150_tt6&amp;efg=eyJ2ZW5jb2RlX3RhZyI6InByb2ZpbGVfcGljLmRqYW5nby42ODAuYzIifQ&amp;_nc_ht=instagram.fcgh5-2.fna.fbcdn.net&amp;_nc_cat=104&amp;_nc_oc=Q6cZ2gEoVhHKMLkZhyKiwmJLRqmRfJ_KWhIswt8ejwwlXi02Uy2m_0dULKv5BtOVARtl8SEIOQnVknayyBfsX5eUnass&amp;_nc_ohc=yVN602t0hqEQ7kNvwGPlj8y&amp;_nc_gid=R63OOME3Pg89ilqMg8is9w&amp;edm=AI-cjbYBAAAA&amp;ccb=7-5&amp;oh=00_Af1TnIwPHw1nYwOK9eO81W5sLh5lBjiB0ULEZKDkB4_SoA&amp;oe=69D8B608&amp;_nc_sid=0985b0</t>
  </si>
  <si>
    <t>https://instagram.fcgh5-2.fna.fbcdn.net/v/t51.2885-19/270559907_453737893047123_7629566668004110238_n.jpg?stp=dst-jpg_s150x150_tt6&amp;efg=eyJ2ZW5jb2RlX3RhZyI6InByb2ZpbGVfcGljLmRqYW5nby44NjQuYzIifQ&amp;_nc_ht=instagram.fcgh5-2.fna.fbcdn.net&amp;_nc_cat=103&amp;_nc_oc=Q6cZ2gEoVhHKMLkZhyKiwmJLRqmRfJ_KWhIswt8ejwwlXi02Uy2m_0dULKv5BtOVARtl8SEIOQnVknayyBfsX5eUnass&amp;_nc_ohc=uAa-Ic0lEswQ7kNvwFGlIK8&amp;_nc_gid=R63OOME3Pg89ilqMg8is9w&amp;edm=AI-cjbYBAAAA&amp;ccb=7-5&amp;oh=00_Af1WVOH99DPKZSBUSkmVa0-CowhdkwwGpSFhft6NHQe0Og&amp;oe=69D89F38&amp;_nc_sid=0985b0</t>
  </si>
  <si>
    <t>Precisamos mudar essa realidade ✈️</t>
  </si>
  <si>
    <t>01/06/2023, 17:03:53</t>
  </si>
  <si>
    <t>https://instagram.fcgh5-1.fna.fbcdn.net/v/t51.2885-19/57133932_411934029359278_8210316344105631744_n.jpg?stp=dst-jpg_s150x150_tt6&amp;efg=eyJ2ZW5jb2RlX3RhZyI6InByb2ZpbGVfcGljLmRqYW5nby44MDAuYzIifQ&amp;_nc_ht=instagram.fcgh5-1.fna.fbcdn.net&amp;_nc_cat=110&amp;_nc_oc=Q6cZ2gFHpZwq892HeKG-khw8fBdg93UWHEGbwQ7rcSTkX0MFBtIUjQ4NMvgBIxuN2IFWhog_SjyKs9jiutTJ_NXfTBE0&amp;_nc_ohc=3MJR37KVHV0Q7kNvwE_kCBz&amp;_nc_gid=y5qAVAo73vGM-7sHX8msdA&amp;edm=AI-cjbYBAAAA&amp;ccb=7-5&amp;oh=00_Af0iF8j_NNqGbXiLz4SGJe6ys6-dhwypGMM6OjuWQJquaA&amp;oe=69D89368&amp;_nc_sid=0985b0</t>
  </si>
  <si>
    <t>https://instagram.fcgh5-1.fna.fbcdn.net/v/t51.2885-19/57133932_411934029359278_8210316344105631744_n.jpg?stp=dst-jpg_s150x150_tt6&amp;efg=eyJ2ZW5jb2RlX3RhZyI6InByb2ZpbGVfcGljLmRqYW5nby44MDAuYzIifQ&amp;_nc_ht=instagram.fcgh5-1.fna.fbcdn.net&amp;_nc_cat=110&amp;_nc_oc=Q6cZ2gE9DAjvLlHlj5KWxRY2Xs_snMcuIx-wjoknk-CE_XxRbogqWRWC0pSPbmCTDkLXrNNkC9N4VzPmf0WJpJLq3bl0&amp;_nc_ohc=3MJR37KVHV0Q7kNvwE_kCBz&amp;_nc_gid=MjI-n9DnpnrGs2EW4t4CJA&amp;edm=AI-cjbYBAAAA&amp;ccb=7-5&amp;oh=00_Af0LxPo6nKCffsEmytvt2129MCgWJp3J6XsHt_dgz_18cA&amp;oe=69D89368&amp;_nc_sid=0985b0</t>
  </si>
  <si>
    <t>conversanagalley</t>
  </si>
  <si>
    <t>Foi maravilhoso, obrigada pela oportunidade 👏❤️</t>
  </si>
  <si>
    <t>03/08/2021, 17:51:09</t>
  </si>
  <si>
    <t>https://www.instagram.com/conversanagalley</t>
  </si>
  <si>
    <t>https://instagram.fcgh5-2.fna.fbcdn.net/v/t51.2885-19/251165501_174970374831877_6706317019847626140_n.jpg?stp=dst-jpg_s150x150_tt6&amp;efg=eyJ2ZW5jb2RlX3RhZyI6InByb2ZpbGVfcGljLmRqYW5nby43MTcuYzIifQ&amp;_nc_ht=instagram.fcgh5-2.fna.fbcdn.net&amp;_nc_cat=101&amp;_nc_oc=Q6cZ2gHdRt8Z6otpvgm9jbBG4k9QGkJCnQSZgAmzUNnJLQRv4EUQSNNH31Ox5jUAfnQZShfwWx4Hl1I2R53GcJB4PM9a&amp;_nc_ohc=s6OmpdKXAAgQ7kNvwEZk3mU&amp;_nc_gid=IBCfKG3gjcLoMH-fI7sBOw&amp;edm=AI-cjbYBAAAA&amp;ccb=7-5&amp;oh=00_Af3l5HD6YqDeEiJ7hPfFZGRqA6XnOAvus8e6PzpGe3i7IQ&amp;oe=69D8C634&amp;_nc_sid=0985b0</t>
  </si>
  <si>
    <t>https://instagram.fcgh5-2.fna.fbcdn.net/v/t51.2885-19/251165501_174970374831877_6706317019847626140_n.jpg?stp=dst-jpg_s150x150_tt6&amp;efg=eyJ2ZW5jb2RlX3RhZyI6InByb2ZpbGVfcGljLmRqYW5nby43MTcuYzIifQ&amp;_nc_ht=instagram.fcgh5-2.fna.fbcdn.net&amp;_nc_cat=101&amp;_nc_oc=Q6cZ2gFwqFc7QWebp32kG0t7-HTp4jivt2y0bQB4njPszMQlNXYiRLlpxT9K8zXwWmvTwmF1os_35az6ImHJWJqZDIgt&amp;_nc_ohc=s6OmpdKXAAgQ7kNvwEZk3mU&amp;_nc_gid=_6w9H6lyEjJKJRyb1oHTlQ&amp;edm=AI-cjbYBAAAA&amp;ccb=7-5&amp;oh=00_Af09KBnNhsbDlXwYIvqXuH8W34-DJp3EXktLWerXdqnKcA&amp;oe=69D8C634&amp;_nc_sid=0985b0</t>
  </si>
  <si>
    <t>adamshelenfhti9k</t>
  </si>
  <si>
    <t>Incredible
photo, we 'd love to work with you for
 a lot more  information message our  primary account in my
 biography</t>
  </si>
  <si>
    <t>26/05/2023, 11:11:56</t>
  </si>
  <si>
    <t>https://www.instagram.com/adamshelenfhti9k</t>
  </si>
  <si>
    <t>https://instagram.fcgh5-2.fna.fbcdn.net/v/t51.2885-19/332732800_186025320806043_2804206861972595341_n.jpg?stp=dst-jpg_s150x150_tt6&amp;efg=eyJ2ZW5jb2RlX3RhZyI6InByb2ZpbGVfcGljLmRqYW5nby42MDAuYzIifQ&amp;_nc_ht=instagram.fcgh5-2.fna.fbcdn.net&amp;_nc_cat=103&amp;_nc_oc=Q6cZ2gEBaZr080HWnqIcJlM0H9MmU2kAH1CiuTSwLSfj74PeCE76PzPVwt0REMo27tcPOjcMK0dsWb1m6RWxqtH2ArG6&amp;_nc_ohc=vBHpAoDZbmUQ7kNvwF3c86D&amp;_nc_gid=rFITX1yHcqE6TYuuwvRuvw&amp;edm=AI-cjbYBAAAA&amp;ccb=7-5&amp;oh=00_Af1WOqVAbL7o6qYv2ImQdhuoRIGFFuIfgwCPL1OMV0qbYg&amp;oe=69D8970A&amp;_nc_sid=0985b0</t>
  </si>
  <si>
    <t>https://instagram.fcgh5-2.fna.fbcdn.net/v/t51.2885-19/332732800_186025320806043_2804206861972595341_n.jpg?stp=dst-jpg_s150x150_tt6&amp;efg=eyJ2ZW5jb2RlX3RhZyI6InByb2ZpbGVfcGljLmRqYW5nby42MDAuYzIifQ&amp;_nc_ht=instagram.fcgh5-2.fna.fbcdn.net&amp;_nc_cat=103&amp;_nc_oc=Q6cZ2gEUQ1TvlzFemKZEYBJAN8qAc1nm0I8wtjgIdtz-4e3S5poklT0F0J3HiSaTbySUg6hkLW9SDsLZa-SapdnKdZJl&amp;_nc_ohc=vBHpAoDZbmUQ7kNvwF3c86D&amp;_nc_gid=b2_R5JUjUTnW8ssx1G3NoA&amp;edm=AI-cjbYBAAAA&amp;ccb=7-5&amp;oh=00_Af2YLXgXjn-ge9qfkWKLkoMmuH1No4BCKNw6ycfDVLurvw&amp;oe=69D8970A&amp;_nc_sid=0985b0</t>
  </si>
  <si>
    <t>poonam_kaur17</t>
  </si>
  <si>
    <t>Promote it ! On @Paradise_of.travel</t>
  </si>
  <si>
    <t>06/08/2021, 21:53:41</t>
  </si>
  <si>
    <t>https://www.instagram.com/poonam_kaur17</t>
  </si>
  <si>
    <t>https://instagram.fcgh5-1.fna.fbcdn.net/v/t51.2885-19/277113545_1080512009173775_7684975226293439412_n.jpg?stp=dst-jpg_s150x150_tt6&amp;efg=eyJ2ZW5jb2RlX3RhZyI6InByb2ZpbGVfcGljLmRqYW5nby43MjAuYzIifQ&amp;_nc_ht=instagram.fcgh5-1.fna.fbcdn.net&amp;_nc_cat=111&amp;_nc_oc=Q6cZ2gGpy7e6SSU1L2kGsdYKlA1JBLfat1V6DCIx4O2gRDFizodtNv3j7DSDzyKR_pBIrP9LuyTyv6KwLTn5aF88Giet&amp;_nc_ohc=yIhM2qvEGksQ7kNvwF1p-fD&amp;_nc_gid=8rHDNbgVJSSYqc0KpV8xqg&amp;edm=AI-cjbYBAAAA&amp;ccb=7-5&amp;oh=00_Af0S_5ROucXWJdE8-SuMJr8BerKAclBTRyftRF8EkccX4Q&amp;oe=69D8BF64&amp;_nc_sid=0985b0</t>
  </si>
  <si>
    <t>https://instagram.fcgh5-1.fna.fbcdn.net/v/t51.2885-19/277113545_1080512009173775_7684975226293439412_n.jpg?stp=dst-jpg_s150x150_tt6&amp;efg=eyJ2ZW5jb2RlX3RhZyI6InByb2ZpbGVfcGljLmRqYW5nby43MjAuYzIifQ&amp;_nc_ht=instagram.fcgh5-1.fna.fbcdn.net&amp;_nc_cat=111&amp;_nc_oc=Q6cZ2gHAIXTCGJ9_cVQTrHIvAROwLODnRmxvjOtCTE5Bp1Qiq9KF-QVhvXtuipI-mH-tKuGrDEl_Kn9XNAR-ECaIb_Cf&amp;_nc_ohc=yIhM2qvEGksQ7kNvwF1p-fD&amp;_nc_gid=aYqfTljYhN9sCg6FexP3sA&amp;edm=AI-cjbYBAAAA&amp;ccb=7-5&amp;oh=00_Af0EMG4p6pNxIC_IO0laQS-WTT1GIdcFI1SOZzIB8jbOHw&amp;oe=69D8BF64&amp;_nc_sid=0985b0</t>
  </si>
  <si>
    <t>artg_irl</t>
  </si>
  <si>
    <t>Promote it on @Natural__.life</t>
  </si>
  <si>
    <t>19/08/2021, 15:20:00</t>
  </si>
  <si>
    <t>https://www.instagram.com/artg_irl</t>
  </si>
  <si>
    <t>https://instagram.fcgh5-2.fna.fbcdn.net/v/t51.2885-19/263828242_1176701449403346_2825805441325223507_n.jpg?stp=dst-jpg_s150x150_tt6&amp;efg=eyJ2ZW5jb2RlX3RhZyI6InByb2ZpbGVfcGljLmRqYW5nby4xMDgwLmMyIn0&amp;_nc_ht=instagram.fcgh5-2.fna.fbcdn.net&amp;_nc_cat=106&amp;_nc_oc=Q6cZ2gHBV_PS4nepYTCSksFxkQnEATrYtj3VgzmGWDjRX2dkSB8FQd-B_bJFqNxZlLu6xZ-CkK62x-tWN64Xdl8U0bOq&amp;_nc_ohc=1ryM2a-leqAQ7kNvwFP2JM4&amp;_nc_gid=OjY-9LGBB8mpuhat_5H3zg&amp;edm=AI-cjbYBAAAA&amp;ccb=7-5&amp;oh=00_Af3tVmFjnHKWsSMMkXJ2zvzw-EMdkidxGq5h4f9hh5LDTg&amp;oe=69D8C586&amp;_nc_sid=0985b0</t>
  </si>
  <si>
    <t>maisa_.14</t>
  </si>
  <si>
    <t>Promote it on ❤️ @life_of_travling</t>
  </si>
  <si>
    <t>https://www.instagram.com/maisa_.14</t>
  </si>
  <si>
    <t>https://instagram.fcgh5-1.fna.fbcdn.net/v/t51.2885-19/448678000_1198787927695145_5570951148547302964_n.jpg?stp=dst-jpg_s150x150_tt6&amp;efg=eyJ2ZW5jb2RlX3RhZyI6InByb2ZpbGVfcGljLmRqYW5nby44OTkuYzIifQ&amp;_nc_ht=instagram.fcgh5-1.fna.fbcdn.net&amp;_nc_cat=105&amp;_nc_oc=Q6cZ2gHBV_PS4nepYTCSksFxkQnEATrYtj3VgzmGWDjRX2dkSB8FQd-B_bJFqNxZlLu6xZ-CkK62x-tWN64Xdl8U0bOq&amp;_nc_ohc=ukekPqIHvGMQ7kNvwE7tVW4&amp;_nc_gid=OjY-9LGBB8mpuhat_5H3zg&amp;edm=AI-cjbYBAAAA&amp;ccb=7-5&amp;oh=00_Af1ni7onpqJ-P5KJ7CGE8KpS9hw1wFV5U0eMulCaCou5Zw&amp;oe=69D89EB7&amp;_nc_sid=0985b0</t>
  </si>
  <si>
    <t>broken_huert__07</t>
  </si>
  <si>
    <t>Love it dm✨@heaven_.of._travel</t>
  </si>
  <si>
    <t>19/08/2021, 15:20:02</t>
  </si>
  <si>
    <t>https://www.instagram.com/broken_huert__07</t>
  </si>
  <si>
    <t>https://instagram.fcgh5-1.fna.fbcdn.net/v/t51.2885-19/404295509_362440026243622_3807675368739897059_n.jpg?stp=dst-jpg_s150x150_tt6&amp;efg=eyJ2ZW5jb2RlX3RhZyI6InByb2ZpbGVfcGljLmRqYW5nby4xMDc4LmMyIn0&amp;_nc_ht=instagram.fcgh5-1.fna.fbcdn.net&amp;_nc_cat=110&amp;_nc_oc=Q6cZ2gHBV_PS4nepYTCSksFxkQnEATrYtj3VgzmGWDjRX2dkSB8FQd-B_bJFqNxZlLu6xZ-CkK62x-tWN64Xdl8U0bOq&amp;_nc_ohc=GylfJmHO09IQ7kNvwHh62VX&amp;_nc_gid=OjY-9LGBB8mpuhat_5H3zg&amp;edm=AI-cjbYBAAAA&amp;ccb=7-5&amp;oh=00_Af3ae9JFeziqRSrsIsfJTIygYmVSFiik5U_K9FHUMhWVsQ&amp;oe=69D8C9D1&amp;_nc_sid=0985b0</t>
  </si>
  <si>
    <t>instahub.03</t>
  </si>
  <si>
    <t>Love it 💌 Dm us  @world_of_travel._</t>
  </si>
  <si>
    <t>19/08/2021, 15:20:20</t>
  </si>
  <si>
    <t>https://www.instagram.com/instahub.03</t>
  </si>
  <si>
    <t>https://instagram.fcgh5-2.fna.fbcdn.net/v/t51.2885-19/240776525_273686464239139_8948278736129271902_n.jpg?stp=dst-jpg_s150x150_tt6&amp;efg=eyJ2ZW5jb2RlX3RhZyI6InByb2ZpbGVfcGljLmRqYW5nby41NDIuYzIifQ&amp;_nc_ht=instagram.fcgh5-2.fna.fbcdn.net&amp;_nc_cat=107&amp;_nc_oc=Q6cZ2gHBV_PS4nepYTCSksFxkQnEATrYtj3VgzmGWDjRX2dkSB8FQd-B_bJFqNxZlLu6xZ-CkK62x-tWN64Xdl8U0bOq&amp;_nc_ohc=OumGTGtYIxYQ7kNvwGPb1Eo&amp;_nc_gid=OjY-9LGBB8mpuhat_5H3zg&amp;edm=AI-cjbYBAAAA&amp;ccb=7-5&amp;oh=00_Af1_1iRLH4lrsd10lF7wZxuTuxV2ca79zsyrMxsdw3YuaQ&amp;oe=69D8BAE0&amp;_nc_sid=0985b0</t>
  </si>
  <si>
    <t>❤️❤️❤️</t>
  </si>
  <si>
    <t>23/06/2023, 08:50:45</t>
  </si>
  <si>
    <t>https://instagram.fcgh5-1.fna.fbcdn.net/v/t51.2885-19/57133932_411934029359278_8210316344105631744_n.jpg?stp=dst-jpg_s150x150_tt6&amp;efg=eyJ2ZW5jb2RlX3RhZyI6InByb2ZpbGVfcGljLmRqYW5nby44MDAuYzIifQ&amp;_nc_ht=instagram.fcgh5-1.fna.fbcdn.net&amp;_nc_cat=110&amp;_nc_oc=Q6cZ2gFi_CoskAfl5b5tlfVM0qamUmOPOVSekgRBAwA9vZLEX4W-qLiSQmdHPry83idm6Dw32YeGjwygTiLWVp1ut-8b&amp;_nc_ohc=3MJR37KVHV0Q7kNvwE_kCBz&amp;_nc_gid=lVUdAESVohEm15J0TMlz5g&amp;edm=AI-cjbYBAAAA&amp;ccb=7-5&amp;oh=00_Af2-Y5L1cgn59xwdoAH0C0i9BOs-6LFC6vs3MEKIjbyGGA&amp;oe=69D89368&amp;_nc_sid=0985b0</t>
  </si>
  <si>
    <t>fabiobpinheiro</t>
  </si>
  <si>
    <t>Eu jurava que ele não sabia escrever...</t>
  </si>
  <si>
    <t>08/10/2024, 14:22:34</t>
  </si>
  <si>
    <t>https://www.instagram.com/fabiobpinheiro</t>
  </si>
  <si>
    <t>https://instagram.fcgh5-1.fna.fbcdn.net/v/t51.82787-19/624332952_18551920138016501_654068922917527008_n.jpg?stp=dst-jpg_s150x150_tt6&amp;efg=eyJ2ZW5jb2RlX3RhZyI6InByb2ZpbGVfcGljLmRqYW5nby4xMDgwLmMyIn0&amp;_nc_ht=instagram.fcgh5-1.fna.fbcdn.net&amp;_nc_cat=105&amp;_nc_oc=Q6cZ2gFDSpQcL7yKiW6a1ECnYI5s03bjfMhqIB244kWu1ZvcELh-thXPoFSltDeOhochMlpztVV2wo_CeCbm1GbdEy4z&amp;_nc_ohc=StfQMH_RSY0Q7kNvwHQ5iZE&amp;_nc_gid=Ray5-1Ug7hS2Oo2hGoiFWw&amp;edm=AI-cjbYBAAAA&amp;ccb=7-5&amp;oh=00_Af2IM5gsAOFjv1ixrIUUAzVJbu7SVkM4sli98Cx5aRqzXA&amp;oe=69D85BB3&amp;_nc_sid=0985b0</t>
  </si>
  <si>
    <t>A AZUL acaba de perder um cliente assíduo. Inclusive voltei dos EUA 🇺🇸 com a AZUL há menos de 15 dias. Nunca mais.</t>
  </si>
  <si>
    <t>08/10/2024, 14:40:34</t>
  </si>
  <si>
    <t>https://instagram.fcgh5-1.fna.fbcdn.net/v/t51.2885-19/482582917_1728510641062556_3537935381282496281_n.jpg?stp=dst-jpg_s150x150_tt6&amp;efg=eyJ2ZW5jb2RlX3RhZyI6InByb2ZpbGVfcGljLmRqYW5nby45NTguYzIifQ&amp;_nc_ht=instagram.fcgh5-1.fna.fbcdn.net&amp;_nc_cat=108&amp;_nc_oc=Q6cZ2gFDSpQcL7yKiW6a1ECnYI5s03bjfMhqIB244kWu1ZvcELh-thXPoFSltDeOhochMlpztVV2wo_CeCbm1GbdEy4z&amp;_nc_ohc=2j4nS5ptD5sQ7kNvwE2W-QB&amp;_nc_gid=Ray5-1Ug7hS2Oo2hGoiFWw&amp;edm=AI-cjbYBAAAA&amp;ccb=7-5&amp;oh=00_Af0j6oSmALz3HOVyoHmxpBxuWtyUn9VKT0sy4AQzGfB5Gw&amp;oe=69D87179&amp;_nc_sid=0985b0</t>
  </si>
  <si>
    <t>Pessoal de direita… bora voar outras Cias Aéreas, não mais AZUL.</t>
  </si>
  <si>
    <t>08/10/2024, 14:41:17</t>
  </si>
  <si>
    <t>bolaovox</t>
  </si>
  <si>
    <t>A azul vai ficar no vermelho 😂😂</t>
  </si>
  <si>
    <t>08/10/2024, 15:17:51</t>
  </si>
  <si>
    <t>https://www.instagram.com/bolaovox</t>
  </si>
  <si>
    <t>https://instagram.fcgh5-1.fna.fbcdn.net/v/t51.82787-19/613108589_18550081081050470_1648182068581401048_n.jpg?stp=dst-jpg_s150x150_tt6&amp;efg=eyJ2ZW5jb2RlX3RhZyI6InByb2ZpbGVfcGljLmRqYW5nby41NTAuYzIifQ&amp;_nc_ht=instagram.fcgh5-1.fna.fbcdn.net&amp;_nc_cat=102&amp;_nc_oc=Q6cZ2gFDSpQcL7yKiW6a1ECnYI5s03bjfMhqIB244kWu1ZvcELh-thXPoFSltDeOhochMlpztVV2wo_CeCbm1GbdEy4z&amp;_nc_ohc=n0jciofursUQ7kNvwHCXrNr&amp;_nc_gid=Ray5-1Ug7hS2Oo2hGoiFWw&amp;edm=AI-cjbYBAAAA&amp;ccb=7-5&amp;oh=00_Af0Wr1i6dSKNUgncmiPuSvLDkHxwJ-W9Lom7ZGAdypxtFg&amp;oe=69D86614&amp;_nc_sid=0985b0</t>
  </si>
  <si>
    <t>Parabéns 👏🏿 presidente Lula e Azul 💙</t>
  </si>
  <si>
    <t>08/10/2024, 15:22:00</t>
  </si>
  <si>
    <t>https://instagram.fcgh5-1.fna.fbcdn.net/v/t51.82787-19/629192159_18552724234054502_2673385030381474984_n.jpg?stp=dst-jpg_s150x150_tt6&amp;efg=eyJ2ZW5jb2RlX3RhZyI6InByb2ZpbGVfcGljLmRqYW5nby4xMDgwLmMyIn0&amp;_nc_ht=instagram.fcgh5-1.fna.fbcdn.net&amp;_nc_cat=102&amp;_nc_oc=Q6cZ2gFDSpQcL7yKiW6a1ECnYI5s03bjfMhqIB244kWu1ZvcELh-thXPoFSltDeOhochMlpztVV2wo_CeCbm1GbdEy4z&amp;_nc_ohc=G456tT05DO0Q7kNvwHWuJKr&amp;_nc_gid=Ray5-1Ug7hS2Oo2hGoiFWw&amp;edm=AI-cjbYBAAAA&amp;ccb=7-5&amp;oh=00_Af0_04apyqOhEaZ_yIFauAtVdA_g32Q4ZKCqvZ0qFiLpkQ&amp;oe=69D86699&amp;_nc_sid=0985b0</t>
  </si>
  <si>
    <t>Combustível verde 💚 é importante para aviação, ótima iniciativa</t>
  </si>
  <si>
    <t>08/10/2024, 15:22:30</t>
  </si>
  <si>
    <t>maria.professora.sa</t>
  </si>
  <si>
    <t>Legal, presidente Lula! O melhor presidente do Brasil!</t>
  </si>
  <si>
    <t>08/10/2024, 15:24:53</t>
  </si>
  <si>
    <t>https://www.instagram.com/maria.professora.sa</t>
  </si>
  <si>
    <t>https://instagram.fcgh5-2.fna.fbcdn.net/v/t51.2885-19/374198132_654320606660826_6735983563505784040_n.jpg?stp=dst-jpg_s150x150_tt6&amp;efg=eyJ2ZW5jb2RlX3RhZyI6InByb2ZpbGVfcGljLmRqYW5nby4zOTQuYzIifQ&amp;_nc_ht=instagram.fcgh5-2.fna.fbcdn.net&amp;_nc_cat=106&amp;_nc_oc=Q6cZ2gFDSpQcL7yKiW6a1ECnYI5s03bjfMhqIB244kWu1ZvcELh-thXPoFSltDeOhochMlpztVV2wo_CeCbm1GbdEy4z&amp;_nc_ohc=T7uqkeJzA5sQ7kNvwEN6yUU&amp;_nc_gid=Ray5-1Ug7hS2Oo2hGoiFWw&amp;edm=AI-cjbYBAAAA&amp;ccb=7-5&amp;oh=00_Af1DTeQPQRyM6w66SVOEoCJPusPlSngHxVySI2CzMflNjw&amp;oe=69D86BF3&amp;_nc_sid=0985b0</t>
  </si>
  <si>
    <t>vivipodcaster</t>
  </si>
  <si>
    <t>Agora só vou viajar de @azulinhasaereas Maravilhoso, orgulho desse presidente</t>
  </si>
  <si>
    <t>08/10/2024, 15:28:18</t>
  </si>
  <si>
    <t>https://www.instagram.com/vivipodcaster</t>
  </si>
  <si>
    <t>https://instagram.fcgh5-1.fna.fbcdn.net/v/t51.2885-19/275703483_154198266992121_4042942902682727790_n.jpg?stp=dst-jpg_s150x150_tt6&amp;efg=eyJ2ZW5jb2RlX3RhZyI6InByb2ZpbGVfcGljLmRqYW5nby42NzMuYzIifQ&amp;_nc_ht=instagram.fcgh5-1.fna.fbcdn.net&amp;_nc_cat=109&amp;_nc_oc=Q6cZ2gFDSpQcL7yKiW6a1ECnYI5s03bjfMhqIB244kWu1ZvcELh-thXPoFSltDeOhochMlpztVV2wo_CeCbm1GbdEy4z&amp;_nc_ohc=ZJoQp8tEhf4Q7kNvwFWtDoK&amp;_nc_gid=Ray5-1Ug7hS2Oo2hGoiFWw&amp;edm=AI-cjbYBAAAA&amp;ccb=7-5&amp;oh=00_Af0oSE1heuvy9dXH7ZIAzBzcH5TW8mfcDdxcF1f9AQ6KTQ&amp;oe=69D8556D&amp;_nc_sid=0985b0</t>
  </si>
  <si>
    <t>Motor de avião virou caderno de caligrafia.......</t>
  </si>
  <si>
    <t>08/10/2024, 17:40:08</t>
  </si>
  <si>
    <t>https://instagram.fcgh5-2.fna.fbcdn.net/v/t51.2885-19/497633458_18502003720053304_670956419006266092_n.jpg?stp=dst-jpg_s150x150_tt6&amp;efg=eyJ2ZW5jb2RlX3RhZyI6InByb2ZpbGVfcGljLmRqYW5nby43MjAuYzIifQ&amp;_nc_ht=instagram.fcgh5-2.fna.fbcdn.net&amp;_nc_cat=104&amp;_nc_oc=Q6cZ2gFDSpQcL7yKiW6a1ECnYI5s03bjfMhqIB244kWu1ZvcELh-thXPoFSltDeOhochMlpztVV2wo_CeCbm1GbdEy4z&amp;_nc_ohc=R9u5BaQ5sKkQ7kNvwH4TV9l&amp;_nc_gid=Ray5-1Ug7hS2Oo2hGoiFWw&amp;edm=AI-cjbYBAAAA&amp;ccb=7-5&amp;oh=00_Af3xPGPYkHB-V5jzG4VYWMkqR67JwSlzdlxWJfrLpBsHew&amp;oe=69D889B2&amp;_nc_sid=0985b0</t>
  </si>
  <si>
    <t>arcoinvest</t>
  </si>
  <si>
    <t>Não escreveu, só rabiscou 😂</t>
  </si>
  <si>
    <t>08/10/2024, 21:19:20</t>
  </si>
  <si>
    <t>https://www.instagram.com/arcoinvest</t>
  </si>
  <si>
    <t>https://instagram.fcgh5-1.fna.fbcdn.net/v/t51.82787-19/544156295_18521932465003245_5793645498540181652_n.jpg?stp=dst-jpg_s150x150_tt6&amp;efg=eyJ2ZW5jb2RlX3RhZyI6InByb2ZpbGVfcGljLmRqYW5nby4xMDgwLmMyIn0&amp;_nc_ht=instagram.fcgh5-1.fna.fbcdn.net&amp;_nc_cat=109&amp;_nc_oc=Q6cZ2gFDSpQcL7yKiW6a1ECnYI5s03bjfMhqIB244kWu1ZvcELh-thXPoFSltDeOhochMlpztVV2wo_CeCbm1GbdEy4z&amp;_nc_ohc=j2CilTYLs-gQ7kNvwEZl26u&amp;_nc_gid=Ray5-1Ug7hS2Oo2hGoiFWw&amp;edm=AI-cjbYBAAAA&amp;ccb=7-5&amp;oh=00_Af1Hoi4paJca9f4FFTaEGjDWuw3VANABR5M_FwfQQiJbrA&amp;oe=69D8791E&amp;_nc_sid=0985b0</t>
  </si>
  <si>
    <t>paulo_tadeupiment</t>
  </si>
  <si>
    <t>👏🏼👏🏼👏🏼👏🏼👏🏼👏🏼💚💚</t>
  </si>
  <si>
    <t>08/10/2024, 14:11:05</t>
  </si>
  <si>
    <t>https://www.instagram.com/paulo_tadeupiment</t>
  </si>
  <si>
    <t>https://instagram.fcgh5-1.fna.fbcdn.net/v/t51.2885-19/434688467_1104769250851907_2224949856739628804_n.jpg?stp=dst-jpg_s150x150_tt6&amp;efg=eyJ2ZW5jb2RlX3RhZyI6InByb2ZpbGVfcGljLmRqYW5nby4xMDgwLmMyIn0&amp;_nc_ht=instagram.fcgh5-1.fna.fbcdn.net&amp;_nc_cat=111&amp;_nc_oc=Q6cZ2gEoDWy6_yCSG24fvkO7dGyp0BShgaIwta7ejJU1008daJLqUPosEPlr0JC91KsJtGPSnKmIQvqUMyiOwGzj8zSa&amp;_nc_ohc=h5Qp4q6PzlMQ7kNvwESZCY5&amp;_nc_gid=i_fNES_YYxapPW0vOJT-lw&amp;edm=AI-cjbYBAAAA&amp;ccb=7-5&amp;oh=00_Af1KbigEicRu5H19nt0Rv0wVlBzM1XVxZ8u7az5AQu-d1Q&amp;oe=69D88B35&amp;_nc_sid=0985b0</t>
  </si>
  <si>
    <t>Parabéns a todos aviadores</t>
  </si>
  <si>
    <t>25/10/2024, 15:03:57</t>
  </si>
  <si>
    <t>https://instagram.fcgh5-1.fna.fbcdn.net/v/t51.82787-19/629192159_18552724234054502_2673385030381474984_n.jpg?stp=dst-jpg_s150x150_tt6&amp;efg=eyJ2ZW5jb2RlX3RhZyI6InByb2ZpbGVfcGljLmRqYW5nby4xMDgwLmMyIn0&amp;_nc_ht=instagram.fcgh5-1.fna.fbcdn.net&amp;_nc_cat=102&amp;_nc_oc=Q6cZ2gHu6pC_ezFxPFfQxeWaVn-WDRITtCSy0QAQXmG6symA4_ZJF3B4RR-8ES_3SRIh-RloiieO-CE3vy4fFUgB42GK&amp;_nc_ohc=G456tT05DO0Q7kNvwHWuJKr&amp;_nc_gid=D3kOvjtqbUuecvdOb-85dA&amp;edm=AI-cjbYBAAAA&amp;ccb=7-5&amp;oh=00_Af3ZMkj1WJPzLVmQKdHQp_H91z_Tch94IIlpwG3hdmQLow&amp;oe=69D86699&amp;_nc_sid=0985b0</t>
  </si>
  <si>
    <t>Que legal 😃</t>
  </si>
  <si>
    <t>18/10/2024, 22:52:24</t>
  </si>
  <si>
    <t>https://instagram.fcgh5-1.fna.fbcdn.net/v/t51.82787-19/629192159_18552724234054502_2673385030381474984_n.jpg?stp=dst-jpg_s150x150_tt6&amp;efg=eyJ2ZW5jb2RlX3RhZyI6InByb2ZpbGVfcGljLmRqYW5nby4xMDgwLmMyIn0&amp;_nc_ht=instagram.fcgh5-1.fna.fbcdn.net&amp;_nc_cat=102&amp;_nc_oc=Q6cZ2gF8fpLGfJLjjL-kdZaikRuNngrPubuiSYsc9oMxniOXbXB9ae1scoDAEGLAqnKBvcMVEFcj0pYXzYTuDBI8H6C_&amp;_nc_ohc=G456tT05DO0Q7kNvwHWuJKr&amp;_nc_gid=9ocG6KO38AzfnfcBRbXk4A&amp;edm=AI-cjbYBAAAA&amp;ccb=7-5&amp;oh=00_Af3GrRc792KZuoibsNOAUAyWLIllN1q3rapPNNbTL6LFQg&amp;oe=69D86699&amp;_nc_sid=0985b0</t>
  </si>
  <si>
    <t>👏🏼👏🏼👏🏼👏🏼👏🏼👏🏼</t>
  </si>
  <si>
    <t>21/10/2024, 18:38:24</t>
  </si>
  <si>
    <t>https://instagram.fcgh5-1.fna.fbcdn.net/v/t51.2885-19/434688467_1104769250851907_2224949856739628804_n.jpg?stp=dst-jpg_s150x150_tt6&amp;efg=eyJ2ZW5jb2RlX3RhZyI6InByb2ZpbGVfcGljLmRqYW5nby4xMDgwLmMyIn0&amp;_nc_ht=instagram.fcgh5-1.fna.fbcdn.net&amp;_nc_cat=111&amp;_nc_oc=Q6cZ2gE56C5IeKKoWzGz-jq20M3c6M07lciXs7dB6FgDK1b_FLj3WrBIE-FlaUGwCbqyuFhezvzBNV3It7P7spHTtO7c&amp;_nc_ohc=h5Qp4q6PzlMQ7kNvwESZCY5&amp;_nc_gid=O314KiL0l3h9HkXUfgCUag&amp;edm=AI-cjbYBAAAA&amp;ccb=7-5&amp;oh=00_Af3FSx_l1kyn9qc7w_vg_SZGo2_8RLan_ZRloT4exrnDtQ&amp;oe=69D852F5&amp;_nc_sid=0985b0</t>
  </si>
  <si>
    <t>👏👏👏👏 notícia ótima Viva o Rio grande do Sul</t>
  </si>
  <si>
    <t>21/10/2024, 18:47:17</t>
  </si>
  <si>
    <t>https://instagram.fcgh5-1.fna.fbcdn.net/v/t51.82787-19/629192159_18552724234054502_2673385030381474984_n.jpg?stp=dst-jpg_s150x150_tt6&amp;efg=eyJ2ZW5jb2RlX3RhZyI6InByb2ZpbGVfcGljLmRqYW5nby4xMDgwLmMyIn0&amp;_nc_ht=instagram.fcgh5-1.fna.fbcdn.net&amp;_nc_cat=102&amp;_nc_oc=Q6cZ2gE56C5IeKKoWzGz-jq20M3c6M07lciXs7dB6FgDK1b_FLj3WrBIE-FlaUGwCbqyuFhezvzBNV3It7P7spHTtO7c&amp;_nc_ohc=G456tT05DO0Q7kNvwHWuJKr&amp;_nc_gid=O314KiL0l3h9HkXUfgCUag&amp;edm=AI-cjbYBAAAA&amp;ccb=7-5&amp;oh=00_Af1SCf335Dzesj4puRi7dip2JRpD10_2HMjkxONcjQLUtQ&amp;oe=69D86699&amp;_nc_sid=0985b0</t>
  </si>
  <si>
    <t>Legal, Aeroporto Salgado Filho</t>
  </si>
  <si>
    <t>21/10/2024, 18:47:51</t>
  </si>
  <si>
    <t>https://instagram.fcgh5-2.fna.fbcdn.net/v/t51.2885-19/374198132_654320606660826_6735983563505784040_n.jpg?stp=dst-jpg_s150x150_tt6&amp;efg=eyJ2ZW5jb2RlX3RhZyI6InByb2ZpbGVfcGljLmRqYW5nby4zOTQuYzIifQ&amp;_nc_ht=instagram.fcgh5-2.fna.fbcdn.net&amp;_nc_cat=106&amp;_nc_oc=Q6cZ2gE56C5IeKKoWzGz-jq20M3c6M07lciXs7dB6FgDK1b_FLj3WrBIE-FlaUGwCbqyuFhezvzBNV3It7P7spHTtO7c&amp;_nc_ohc=T7uqkeJzA5sQ7kNvwEN6yUU&amp;_nc_gid=O314KiL0l3h9HkXUfgCUag&amp;edm=AI-cjbYBAAAA&amp;ccb=7-5&amp;oh=00_Af2LbtTJdboZllMFYdRo6Tb5W8z6O3gxQZXp-8GbX1hlfg&amp;oe=69D86BF3&amp;_nc_sid=0985b0</t>
  </si>
  <si>
    <t>leocozzato</t>
  </si>
  <si>
    <t>💙💙💙😍😍</t>
  </si>
  <si>
    <t>25/01/2025, 20:08:32</t>
  </si>
  <si>
    <t>https://www.instagram.com/leocozzato</t>
  </si>
  <si>
    <t>https://instagram.fcgh5-2.fna.fbcdn.net/v/t51.2885-19/47691593_1937763476277519_1669869845732130816_n.jpg?stp=dst-jpg_s150x150_tt6&amp;efg=eyJ2ZW5jb2RlX3RhZyI6InByb2ZpbGVfcGljLmRqYW5nby4xMDgwLmMyIn0&amp;_nc_ht=instagram.fcgh5-2.fna.fbcdn.net&amp;_nc_cat=103&amp;_nc_oc=Q6cZ2gG44OrUun_x6W01gc-nzJKad5oXAgAw4BDprmAwW56N0mLsGEzeAfnqFHHQju1mcp8TV6s8FlqlYT2VWROKZqUP&amp;_nc_ohc=JgOkcYLyu9MQ7kNvwFE1Ku2&amp;_nc_gid=tlAUTK_QMzyVXjOiLIsi9w&amp;edm=AI-cjbYBAAAA&amp;ccb=7-5&amp;oh=00_Af1n9cY-iDflEyeUHQHR6d4OwUzBJB4Us6p1VzMU36waHg&amp;oe=69D85C6C&amp;_nc_sid=0985b0</t>
  </si>
  <si>
    <t>Que triste</t>
  </si>
  <si>
    <t>09/01/2025, 12:07:26</t>
  </si>
  <si>
    <t>https://instagram.fcgh5-1.fna.fbcdn.net/v/t51.82787-19/629192159_18552724234054502_2673385030381474984_n.jpg?stp=dst-jpg_s150x150_tt6&amp;efg=eyJ2ZW5jb2RlX3RhZyI6InByb2ZpbGVfcGljLmRqYW5nby4xMDgwLmMyIn0&amp;_nc_ht=instagram.fcgh5-1.fna.fbcdn.net&amp;_nc_cat=102&amp;_nc_oc=Q6cZ2gF6WB2dgfZH0j6pKy1AaKC6nhtcLSXeyTS0f-1Ldqjo_WHmPLHLeSvNBdQls-oQH-OKSGAQEnqI8dEcnMizfhlv&amp;_nc_ohc=G456tT05DO0Q7kNvwHWuJKr&amp;_nc_gid=I9BCvUc4sHl9DpdjEgtHxg&amp;edm=AI-cjbYBAAAA&amp;ccb=7-5&amp;oh=00_Af2GRdGl-aqNlGRGSf9Q3Lpe3LeMaQ9SYYh6ClNLIyisMA&amp;oe=69D86699&amp;_nc_sid=0985b0</t>
  </si>
  <si>
    <t>diandradevalmir</t>
  </si>
  <si>
    <t>09/01/2025, 12:19:51</t>
  </si>
  <si>
    <t>https://www.instagram.com/diandradevalmir</t>
  </si>
  <si>
    <t>https://instagram.fcgh5-1.fna.fbcdn.net/v/t51.82787-19/618920978_18355941160201691_5391161411583268411_n.jpg?stp=dst-jpg_s150x150_tt6&amp;efg=eyJ2ZW5jb2RlX3RhZyI6InByb2ZpbGVfcGljLmRqYW5nby4xMDgwLmMyIn0&amp;_nc_ht=instagram.fcgh5-1.fna.fbcdn.net&amp;_nc_cat=111&amp;_nc_oc=Q6cZ2gF6WB2dgfZH0j6pKy1AaKC6nhtcLSXeyTS0f-1Ldqjo_WHmPLHLeSvNBdQls-oQH-OKSGAQEnqI8dEcnMizfhlv&amp;_nc_ohc=nw8_hOyZl5UQ7kNvwHHF4Wi&amp;_nc_gid=I9BCvUc4sHl9DpdjEgtHxg&amp;edm=AI-cjbYBAAAA&amp;ccb=7-5&amp;oh=00_Af0GxwlMSBd3GVx2N4Dfgi_wFfNUPXKtSa0p6q8_bEgpOA&amp;oe=69D86DE1&amp;_nc_sid=0985b0</t>
  </si>
  <si>
    <t>🙏🙏🙏</t>
  </si>
  <si>
    <t>25/01/2025, 20:07:14</t>
  </si>
  <si>
    <t>https://instagram.fcgh5-2.fna.fbcdn.net/v/t51.2885-19/47691593_1937763476277519_1669869845732130816_n.jpg?stp=dst-jpg_s150x150_tt6&amp;efg=eyJ2ZW5jb2RlX3RhZyI6InByb2ZpbGVfcGljLmRqYW5nby4xMDgwLmMyIn0&amp;_nc_ht=instagram.fcgh5-2.fna.fbcdn.net&amp;_nc_cat=103&amp;_nc_oc=Q6cZ2gF6WB2dgfZH0j6pKy1AaKC6nhtcLSXeyTS0f-1Ldqjo_WHmPLHLeSvNBdQls-oQH-OKSGAQEnqI8dEcnMizfhlv&amp;_nc_ohc=JgOkcYLyu9MQ7kNvwFE1Ku2&amp;_nc_gid=I9BCvUc4sHl9DpdjEgtHxg&amp;edm=AI-cjbYBAAAA&amp;ccb=7-5&amp;oh=00_Af21HEvuoWcfygV0N8bzb4lstwgvDcpF2qJIkliHN4MoMQ&amp;oe=69D85C6C&amp;_nc_sid=0985b0</t>
  </si>
  <si>
    <t>https://instagram.fcgh5-1.fna.fbcdn.net/v/t51.82787-19/629192159_18552724234054502_2673385030381474984_n.jpg?stp=dst-jpg_s150x150_tt6&amp;efg=eyJ2ZW5jb2RlX3RhZyI6InByb2ZpbGVfcGljLmRqYW5nby4xMDgwLmMyIn0&amp;_nc_ht=instagram.fcgh5-1.fna.fbcdn.net&amp;_nc_cat=102&amp;_nc_oc=Q6cZ2gGvWfZ9H_iid8hi5vO6iMWPxkfX8Qm_bIuf6KDG7aF4S2-X-hEh2tY_RuM1y1s6D_yhmCWfY11SiydhFazETI15&amp;_nc_ohc=G456tT05DO0Q7kNvwHWuJKr&amp;_nc_gid=hlBEjCRWxOd-S990cwfEDg&amp;edm=AI-cjbYBAAAA&amp;ccb=7-5&amp;oh=00_Af2hmN8M5MBE-PVFA5vvACgogth1l8LiaitueQbU_udBuw&amp;oe=69D86699&amp;_nc_sid=0985b0</t>
  </si>
  <si>
    <t>https://instagram.fcgh5-1.fna.fbcdn.net/v/t51.82787-19/618920978_18355941160201691_5391161411583268411_n.jpg?stp=dst-jpg_s150x150_tt6&amp;efg=eyJ2ZW5jb2RlX3RhZyI6InByb2ZpbGVfcGljLmRqYW5nby4xMDgwLmMyIn0&amp;_nc_ht=instagram.fcgh5-1.fna.fbcdn.net&amp;_nc_cat=111&amp;_nc_oc=Q6cZ2gGvWfZ9H_iid8hi5vO6iMWPxkfX8Qm_bIuf6KDG7aF4S2-X-hEh2tY_RuM1y1s6D_yhmCWfY11SiydhFazETI15&amp;_nc_ohc=nw8_hOyZl5UQ7kNvwHHF4Wi&amp;_nc_gid=hlBEjCRWxOd-S990cwfEDg&amp;edm=AI-cjbYBAAAA&amp;ccb=7-5&amp;oh=00_Af3Ezpq22JhUmMuhg9jxCEqkd9ojVSucGz-oIlnT5URp3g&amp;oe=69D86DE1&amp;_nc_sid=0985b0</t>
  </si>
  <si>
    <t>https://instagram.fcgh5-2.fna.fbcdn.net/v/t51.2885-19/47691593_1937763476277519_1669869845732130816_n.jpg?stp=dst-jpg_s150x150_tt6&amp;efg=eyJ2ZW5jb2RlX3RhZyI6InByb2ZpbGVfcGljLmRqYW5nby4xMDgwLmMyIn0&amp;_nc_ht=instagram.fcgh5-2.fna.fbcdn.net&amp;_nc_cat=103&amp;_nc_oc=Q6cZ2gGvWfZ9H_iid8hi5vO6iMWPxkfX8Qm_bIuf6KDG7aF4S2-X-hEh2tY_RuM1y1s6D_yhmCWfY11SiydhFazETI15&amp;_nc_ohc=JgOkcYLyu9MQ7kNvwFE1Ku2&amp;_nc_gid=hlBEjCRWxOd-S990cwfEDg&amp;edm=AI-cjbYBAAAA&amp;ccb=7-5&amp;oh=00_Af2jzKEZdkjp_EPtaBCFcSEciodL1wd9fcT3EbaG1GsjIw&amp;oe=69D85C6C&amp;_nc_sid=0985b0</t>
  </si>
  <si>
    <t>Assisti e recomendo! Sensacional</t>
  </si>
  <si>
    <t>11/01/2025, 23:06:59</t>
  </si>
  <si>
    <t>https://instagram.fcgh5-1.fna.fbcdn.net/v/t51.82787-19/629192159_18552724234054502_2673385030381474984_n.jpg?stp=dst-jpg_s150x150_tt6&amp;efg=eyJ2ZW5jb2RlX3RhZyI6InByb2ZpbGVfcGljLmRqYW5nby4xMDgwLmMyIn0&amp;_nc_ht=instagram.fcgh5-1.fna.fbcdn.net&amp;_nc_cat=102&amp;_nc_oc=Q6cZ2gHqBUpyoIrds5I0Mg2-YifHMV72R7rYz7aawvYXs-LGqqli1ZBq9YBcmW3AfEF9qdNQXucBJyq0xRNJsL7pXIMR&amp;_nc_ohc=G456tT05DO0Q7kNvwHWuJKr&amp;_nc_gid=6cg1EG7MZYzj44XSbhHAQg&amp;edm=AI-cjbYBAAAA&amp;ccb=7-5&amp;oh=00_Af3t9A8cfl2La555_ugNL9V97FTXygwAqkJ8H8gBUNLD6w&amp;oe=69D86699&amp;_nc_sid=0985b0</t>
  </si>
  <si>
    <t>👏👏👏👏👏👏👏👏</t>
  </si>
  <si>
    <t>25/01/2025, 20:05:41</t>
  </si>
  <si>
    <t>https://instagram.fcgh5-2.fna.fbcdn.net/v/t51.2885-19/47691593_1937763476277519_1669869845732130816_n.jpg?stp=dst-jpg_s150x150_tt6&amp;efg=eyJ2ZW5jb2RlX3RhZyI6InByb2ZpbGVfcGljLmRqYW5nby4xMDgwLmMyIn0&amp;_nc_ht=instagram.fcgh5-2.fna.fbcdn.net&amp;_nc_cat=103&amp;_nc_oc=Q6cZ2gEgjdlC4oORDRelwOUmZFK_h7UheqppN-ogaERWJHM8BsNGVJPUOk1nmEG4ytBhYrwcH1OvYlL_aOxP0-HlFN8k&amp;_nc_ohc=JgOkcYLyu9MQ7kNvwFE1Ku2&amp;_nc_gid=sfVe3BqdIfZSAoHgz-ThSA&amp;edm=AI-cjbYBAAAA&amp;ccb=7-5&amp;oh=00_Af1BJtC2MghF8EL_oJfDXp60GHW5knYPWPN0JE-nFw8ZFQ&amp;oe=69D85C6C&amp;_nc_sid=0985b0</t>
  </si>
  <si>
    <t>Bom dia, ! Ótima segunda-feira para você!
NASCI NA ESPERANÇA.</t>
  </si>
  <si>
    <t>10/02/2025, 10:10:38</t>
  </si>
  <si>
    <t>https://instagram.fcgh5-2.fna.fbcdn.net/v/t51.2885-19/483463870_654672080579802_7464746128624863841_n.jpg?stp=dst-jpg_s150x150_tt6&amp;efg=eyJ2ZW5jb2RlX3RhZyI6InByb2ZpbGVfcGljLmRqYW5nby4xMDgwLmMyIn0&amp;_nc_ht=instagram.fcgh5-2.fna.fbcdn.net&amp;_nc_cat=106&amp;_nc_oc=Q6cZ2gG9ybXvK2nKG5b4elWTNZFKRfE9OPDy4nSB5UUebw_y9oVx5PnAifc7sC-v7hdEq_R4Doofc7oJZiXCLtKx59lA&amp;_nc_ohc=DCGJnW-DMYEQ7kNvwEOzF88&amp;_nc_gid=O4DJ1Srykx23HTIbruzdhw&amp;edm=AI-cjbYBAAAA&amp;ccb=7-5&amp;oh=00_Af0eKPjLqQlOdE9Tq845q9k5ezvQ6ySdkQaVFvSV5Wcr4g&amp;oe=69D85E7C&amp;_nc_sid=0985b0</t>
  </si>
  <si>
    <t>Pra todos nós</t>
  </si>
  <si>
    <t>10/02/2025, 15:52:15</t>
  </si>
  <si>
    <t>https://instagram.fcgh5-1.fna.fbcdn.net/v/t51.82787-19/629192159_18552724234054502_2673385030381474984_n.jpg?stp=dst-jpg_s150x150_tt6&amp;efg=eyJ2ZW5jb2RlX3RhZyI6InByb2ZpbGVfcGljLmRqYW5nby4xMDgwLmMyIn0&amp;_nc_ht=instagram.fcgh5-1.fna.fbcdn.net&amp;_nc_cat=102&amp;_nc_oc=Q6cZ2gG9ybXvK2nKG5b4elWTNZFKRfE9OPDy4nSB5UUebw_y9oVx5PnAifc7sC-v7hdEq_R4Doofc7oJZiXCLtKx59lA&amp;_nc_ohc=G456tT05DO0Q7kNvwHWuJKr&amp;_nc_gid=O4DJ1Srykx23HTIbruzdhw&amp;edm=AI-cjbYBAAAA&amp;ccb=7-5&amp;oh=00_Af1Mv86_ocQGO6cnarNMGVi_nyfpBXJPx_Hd9PMw6sJBcQ&amp;oe=69D86699&amp;_nc_sid=0985b0</t>
  </si>
  <si>
    <t>https://instagram.fcgh5-2.fna.fbcdn.net/v/t51.2885-19/483463870_654672080579802_7464746128624863841_n.jpg?stp=dst-jpg_s150x150_tt6&amp;efg=eyJ2ZW5jb2RlX3RhZyI6InByb2ZpbGVfcGljLmRqYW5nby4xMDgwLmMyIn0&amp;_nc_ht=instagram.fcgh5-2.fna.fbcdn.net&amp;_nc_cat=106&amp;_nc_oc=Q6cZ2gHvLInm7sPNQrBUmJ0EkDpeSatwj6b-FNjc8BhRjHRiajZ3JLUOeQ7tx8MUhXb_tuRgiqVcRqtU-i3oksuAZUCY&amp;_nc_ohc=DCGJnW-DMYEQ7kNvwEOzF88&amp;_nc_gid=HVysChNKzFvIM_B1x1TelA&amp;edm=AI-cjbYBAAAA&amp;ccb=7-5&amp;oh=00_Af3N2PE3pOyvMHGvDomjz2mSYTOn7aBq0XZisrdxea-vnw&amp;oe=69D85E7C&amp;_nc_sid=0985b0</t>
  </si>
  <si>
    <t>https://instagram.fcgh5-1.fna.fbcdn.net/v/t51.82787-19/629192159_18552724234054502_2673385030381474984_n.jpg?stp=dst-jpg_s150x150_tt6&amp;efg=eyJ2ZW5jb2RlX3RhZyI6InByb2ZpbGVfcGljLmRqYW5nby4xMDgwLmMyIn0&amp;_nc_ht=instagram.fcgh5-1.fna.fbcdn.net&amp;_nc_cat=102&amp;_nc_oc=Q6cZ2gHvLInm7sPNQrBUmJ0EkDpeSatwj6b-FNjc8BhRjHRiajZ3JLUOeQ7tx8MUhXb_tuRgiqVcRqtU-i3oksuAZUCY&amp;_nc_ohc=G456tT05DO0Q7kNvwHWuJKr&amp;_nc_gid=HVysChNKzFvIM_B1x1TelA&amp;edm=AI-cjbYBAAAA&amp;ccb=7-5&amp;oh=00_Af2MuFYOpocChKyEUEgm8_pc945bqFZQGMSvqfs-P-fTSQ&amp;oe=69D86699&amp;_nc_sid=0985b0</t>
  </si>
  <si>
    <t>25/01/2025, 20:04:57</t>
  </si>
  <si>
    <t>https://instagram.fcgh5-2.fna.fbcdn.net/v/t51.2885-19/47691593_1937763476277519_1669869845732130816_n.jpg?stp=dst-jpg_s150x150_tt6&amp;efg=eyJ2ZW5jb2RlX3RhZyI6InByb2ZpbGVfcGljLmRqYW5nby4xMDgwLmMyIn0&amp;_nc_ht=instagram.fcgh5-2.fna.fbcdn.net&amp;_nc_cat=103&amp;_nc_oc=Q6cZ2gEcj8aCX2QL6TEO_XBRNkqp1_mqTRkEOND3et9TfLuYKMbD3OdwTmkmelsM2x96Jc_NMXKOe1owdwZtnZtwTsBA&amp;_nc_ohc=JgOkcYLyu9MQ7kNvwFE1Ku2&amp;_nc_gid=xg74ZPjAtSVwM3_u42JEYA&amp;edm=AI-cjbYBAAAA&amp;ccb=7-5&amp;oh=00_Af1J364Rt2ilxCdS99BMq0LO8xg4-FYT8xq6TkO1fVTwnA&amp;oe=69D85C6C&amp;_nc_sid=0985b0</t>
  </si>
  <si>
    <t>😍😍😍😍😍</t>
  </si>
  <si>
    <t>25/01/2025, 20:03:45</t>
  </si>
  <si>
    <t>https://instagram.fcgh5-2.fna.fbcdn.net/v/t51.2885-19/47691593_1937763476277519_1669869845732130816_n.jpg?stp=dst-jpg_s150x150_tt6&amp;efg=eyJ2ZW5jb2RlX3RhZyI6InByb2ZpbGVfcGljLmRqYW5nby4xMDgwLmMyIn0&amp;_nc_ht=instagram.fcgh5-2.fna.fbcdn.net&amp;_nc_cat=103&amp;_nc_oc=Q6cZ2gHEqq_Memi72VDbDEsBFj3q3ztM-7XjAfSm7q699oz5l-ISAcN_N_olEwDNdhuraJJGMHgsiEHY8jyQo_YRTWCE&amp;_nc_ohc=JgOkcYLyu9MQ7kNvwFE1Ku2&amp;_nc_gid=9aLMlB28KSRVc4jg06ThdA&amp;edm=AI-cjbYBAAAA&amp;ccb=7-5&amp;oh=00_Af0huwSo1zHyZ5QsLBn77O26OjlsoZ_qAiUdHlZLqIzMAA&amp;oe=69D85C6C&amp;_nc_sid=0985b0</t>
  </si>
  <si>
    <t>😍😍😍😍👏👏👏👏👏👏</t>
  </si>
  <si>
    <t>25/01/2025, 20:03:09</t>
  </si>
  <si>
    <t>https://instagram.fcgh5-2.fna.fbcdn.net/v/t51.2885-19/47691593_1937763476277519_1669869845732130816_n.jpg?stp=dst-jpg_s150x150_tt6&amp;efg=eyJ2ZW5jb2RlX3RhZyI6InByb2ZpbGVfcGljLmRqYW5nby4xMDgwLmMyIn0&amp;_nc_ht=instagram.fcgh5-2.fna.fbcdn.net&amp;_nc_cat=103&amp;_nc_oc=Q6cZ2gFCDqMJ0TT_JHZkP9Glm6ldXbO2XFh8VE5vDvJG6gCMTMgSaG1TsQxtOxEgwDIM9JI4GYpKVpOYPT2pCKlBc8Tb&amp;_nc_ohc=JgOkcYLyu9MQ7kNvwFE1Ku2&amp;_nc_gid=XqCGP1Bi2ZakEW-lZzwswQ&amp;edm=AI-cjbYBAAAA&amp;ccb=7-5&amp;oh=00_Af2YfcVNxpXIBl59cbKyL-V5ll--ZXRya_f2fBw2Fsm5HQ&amp;oe=69D85C6C&amp;_nc_sid=0985b0</t>
  </si>
  <si>
    <t>https://instagram.fcgh5-2.fna.fbcdn.net/v/t51.2885-19/47691593_1937763476277519_1669869845732130816_n.jpg?stp=dst-jpg_s150x150_tt6&amp;efg=eyJ2ZW5jb2RlX3RhZyI6InByb2ZpbGVfcGljLmRqYW5nby4xMDgwLmMyIn0&amp;_nc_ht=instagram.fcgh5-2.fna.fbcdn.net&amp;_nc_cat=103&amp;_nc_oc=Q6cZ2gEBX7xfU6pOsF8WIHaS9i3fIz1bwJ7tGatooqjwLoHWg25g9cdYEnEnE7mxhL6zwYRp0Ob3GbqMBg-XOKwIaqS1&amp;_nc_ohc=JgOkcYLyu9MQ7kNvwFE1Ku2&amp;_nc_gid=dfhfl4EpzIpGd-XxR_TmRg&amp;edm=AI-cjbYBAAAA&amp;ccb=7-5&amp;oh=00_Af3yfDr0nKGUtsgmeZAWEiYQrgi7E_Yy_I-gHq81FF_u6g&amp;oe=69D85C6C&amp;_nc_sid=0985b0</t>
  </si>
  <si>
    <t>Parabéns cidade de pessoas de luta</t>
  </si>
  <si>
    <t>25/01/2025, 10:25:32</t>
  </si>
  <si>
    <t>https://instagram.fcgh5-2.fna.fbcdn.net/v/t51.82787-19/574233390_18393115045123935_8706979050179224508_n.jpg?stp=dst-jpg_s150x150_tt6&amp;efg=eyJ2ZW5jb2RlX3RhZyI6InByb2ZpbGVfcGljLmRqYW5nby4xMDgwLmMyIn0&amp;_nc_ht=instagram.fcgh5-2.fna.fbcdn.net&amp;_nc_cat=103&amp;_nc_oc=Q6cZ2gFU-5H0hv7MduGRh1vwK2ckYE3DnlrrAfkNEbZakFRqKNDL6HjdMdpFN3dvVXa7vtf5AfuUP7tcz82lSL5D0cQO&amp;_nc_ohc=DthU4rOQI7wQ7kNvwFUA_tX&amp;_nc_gid=81noP9Lwbuxcqm9Bv7XivQ&amp;edm=AI-cjbYBAAAA&amp;ccb=7-5&amp;oh=00_Af0PNw4CGHBqg3yxmCA67gxC0JzxeNSEDEvTD59FZWZwIw&amp;oe=69D8825A&amp;_nc_sid=0985b0</t>
  </si>
  <si>
    <t>25/01/2025, 20:02:25</t>
  </si>
  <si>
    <t>https://instagram.fcgh5-2.fna.fbcdn.net/v/t51.2885-19/47691593_1937763476277519_1669869845732130816_n.jpg?stp=dst-jpg_s150x150_tt6&amp;efg=eyJ2ZW5jb2RlX3RhZyI6InByb2ZpbGVfcGljLmRqYW5nby4xMDgwLmMyIn0&amp;_nc_ht=instagram.fcgh5-2.fna.fbcdn.net&amp;_nc_cat=103&amp;_nc_oc=Q6cZ2gFU-5H0hv7MduGRh1vwK2ckYE3DnlrrAfkNEbZakFRqKNDL6HjdMdpFN3dvVXa7vtf5AfuUP7tcz82lSL5D0cQO&amp;_nc_ohc=JgOkcYLyu9MQ7kNvwFE1Ku2&amp;_nc_gid=81noP9Lwbuxcqm9Bv7XivQ&amp;edm=AI-cjbYBAAAA&amp;ccb=7-5&amp;oh=00_Af21EtjI5Aq0dSUZh-W2j865iIInOwtnrZKgzhx2wGjQjw&amp;oe=69D85C6C&amp;_nc_sid=0985b0</t>
  </si>
  <si>
    <t>dennamatos</t>
  </si>
  <si>
    <t>Vamos valorizar quem somos, melhorar o que temos e promover mais trabalho! Por um país mais digno e por pessoas vivendo com dignidade. Que nossas lideranças olhem pelo nosso país com seriedade, para que ele não se torne uma bagunça.</t>
  </si>
  <si>
    <t>27/01/2025, 16:53:23</t>
  </si>
  <si>
    <t>https://www.instagram.com/dennamatos</t>
  </si>
  <si>
    <t>https://instagram.fcgh5-1.fna.fbcdn.net/v/t51.82787-19/606598942_18552597520021425_6880287135538796586_n.jpg?stp=dst-jpg_s150x150_tt6&amp;efg=eyJ2ZW5jb2RlX3RhZyI6InByb2ZpbGVfcGljLmRqYW5nby4xMDgwLmMyIn0&amp;_nc_ht=instagram.fcgh5-1.fna.fbcdn.net&amp;_nc_cat=109&amp;_nc_oc=Q6cZ2gGSdxePFjBsqrjTxoEPR4whFaF9EhVS_ITzFq6KyoOxpWwAIzJaPcz5xK72Qv7rrr6Ye6gKp5zTDVixlJgDdT_N&amp;_nc_ohc=w12s2hSX8pwQ7kNvwE97ghR&amp;_nc_gid=DXnRIIhJ17c9YrA0jHppNw&amp;edm=AI-cjbYBAAAA&amp;ccb=7-5&amp;oh=00_Af37csqJ4JGKycObKSVywgEsnwQWV2GBfGcFIMlxO3mCKw&amp;oe=69D86298&amp;_nc_sid=0985b0</t>
  </si>
  <si>
    <t>louevera</t>
  </si>
  <si>
    <t>👏👏😍😍😍 o bom filho ,à  casa torna!! Jamais valorizar a casa do outro,  mais do que a sua !</t>
  </si>
  <si>
    <t>27/01/2025, 16:59:16</t>
  </si>
  <si>
    <t>https://www.instagram.com/louevera</t>
  </si>
  <si>
    <t>https://instagram.fcgh5-1.fna.fbcdn.net/v/t51.82787-19/609173400_18548775847059333_7125848566697694714_n.jpg?stp=dst-jpg_s150x150_tt6&amp;efg=eyJ2ZW5jb2RlX3RhZyI6InByb2ZpbGVfcGljLmRqYW5nby4xMDgwLmMyIn0&amp;_nc_ht=instagram.fcgh5-1.fna.fbcdn.net&amp;_nc_cat=109&amp;_nc_oc=Q6cZ2gGSdxePFjBsqrjTxoEPR4whFaF9EhVS_ITzFq6KyoOxpWwAIzJaPcz5xK72Qv7rrr6Ye6gKp5zTDVixlJgDdT_N&amp;_nc_ohc=DoHckeMkAb4Q7kNvwEa4oHW&amp;_nc_gid=DXnRIIhJ17c9YrA0jHppNw&amp;edm=AI-cjbYBAAAA&amp;ccb=7-5&amp;oh=00_Af1vxaIG1DH-XiVYOVH9MkBE-YVVvp44RrpbWrkKKEd0yw&amp;oe=69D885D9&amp;_nc_sid=0985b0</t>
  </si>
  <si>
    <t>debelhi</t>
  </si>
  <si>
    <t>@dennamatos meu fio, já está uma bagunça com este desgoverno 🤡</t>
  </si>
  <si>
    <t>27/01/2025, 17:58:00</t>
  </si>
  <si>
    <t>https://www.instagram.com/debelhi</t>
  </si>
  <si>
    <t>https://instagram.fcgh5-2.fna.fbcdn.net/v/t51.2885-19/471532442_631463815973011_5796036132673440319_n.jpg?stp=dst-jpg_s150x150_tt6&amp;efg=eyJ2ZW5jb2RlX3RhZyI6InByb2ZpbGVfcGljLmRqYW5nby4xMDgwLmMyIn0&amp;_nc_ht=instagram.fcgh5-2.fna.fbcdn.net&amp;_nc_cat=107&amp;_nc_oc=Q6cZ2gGSdxePFjBsqrjTxoEPR4whFaF9EhVS_ITzFq6KyoOxpWwAIzJaPcz5xK72Qv7rrr6Ye6gKp5zTDVixlJgDdT_N&amp;_nc_ohc=-bLYXBcuQ0cQ7kNvwFAU05u&amp;_nc_gid=DXnRIIhJ17c9YrA0jHppNw&amp;edm=AI-cjbYBAAAA&amp;ccb=7-5&amp;oh=00_Af1icIIctzpHgtRQ9MTp8ySolaI6qMEAz996ZPuKATElKQ&amp;oe=69D85231&amp;_nc_sid=0985b0</t>
  </si>
  <si>
    <t>ojardineirodoalem</t>
  </si>
  <si>
    <t>@louevera valorizaram tanta a casa alheia que pagaram coyote pra entrar ilegalmente nos EUA. Pagaram dinheiro alto para sumir do Brasil. Não vieram por iniciativa própria, vieram expulsos. Essa ministra não tem dignidade para falar de direitos humanos. Perguntem pra ela sobre a merenda escolar em MG.</t>
  </si>
  <si>
    <t>27/01/2025, 18:47:43</t>
  </si>
  <si>
    <t>https://www.instagram.com/ojardineirodoalem</t>
  </si>
  <si>
    <t>https://instagram.fcgh5-2.fna.fbcdn.net/v/t51.2885-19/361928280_296893139529936_5572195014698386505_n.jpg?stp=dst-jpg_s150x150_tt6&amp;efg=eyJ2ZW5jb2RlX3RhZyI6InByb2ZpbGVfcGljLmRqYW5nby4xMDgwLmMyIn0&amp;_nc_ht=instagram.fcgh5-2.fna.fbcdn.net&amp;_nc_cat=100&amp;_nc_oc=Q6cZ2gGSdxePFjBsqrjTxoEPR4whFaF9EhVS_ITzFq6KyoOxpWwAIzJaPcz5xK72Qv7rrr6Ye6gKp5zTDVixlJgDdT_N&amp;_nc_ohc=NRxbHOH7ersQ7kNvwHHKirS&amp;_nc_gid=DXnRIIhJ17c9YrA0jHppNw&amp;edm=AI-cjbYBAAAA&amp;ccb=7-5&amp;oh=00_Af3llgcETuK0Fv8NauUz8Nk_bt_ceEee8tghM6B1pg8F_Q&amp;oe=69D86DC3&amp;_nc_sid=0985b0</t>
  </si>
  <si>
    <t>E a merenda escolar em MG ?</t>
  </si>
  <si>
    <t>27/01/2025, 18:47:59</t>
  </si>
  <si>
    <t>_toledonick2</t>
  </si>
  <si>
    <t>Pergunte ao Zema</t>
  </si>
  <si>
    <t>27/01/2025, 22:29:05</t>
  </si>
  <si>
    <t>https://www.instagram.com/_toledonick2</t>
  </si>
  <si>
    <t>https://instagram.fcgh5-1.fna.fbcdn.net/v/t51.82787-19/624838814_18557580682048613_6889411017759859703_n.jpg?stp=dst-jpg_s150x150_tt6&amp;efg=eyJ2ZW5jb2RlX3RhZyI6InByb2ZpbGVfcGljLmRqYW5nby4xMDgwLmMyIn0&amp;_nc_ht=instagram.fcgh5-1.fna.fbcdn.net&amp;_nc_cat=105&amp;_nc_oc=Q6cZ2gGSdxePFjBsqrjTxoEPR4whFaF9EhVS_ITzFq6KyoOxpWwAIzJaPcz5xK72Qv7rrr6Ye6gKp5zTDVixlJgDdT_N&amp;_nc_ohc=samrDfN9OjIQ7kNvwEB1ls7&amp;_nc_gid=DXnRIIhJ17c9YrA0jHppNw&amp;edm=AI-cjbYBAAAA&amp;ccb=7-5&amp;oh=00_Af2d4-nczAqw6SXq0kK4Pobi7N0qSp_CSc8LFY0-CvXN3g&amp;oe=69D86B4D&amp;_nc_sid=0985b0</t>
  </si>
  <si>
    <t>@_toledonick2  ela fez isso numa prefeitura, não no estado.</t>
  </si>
  <si>
    <t>28/01/2025, 10:27:37</t>
  </si>
  <si>
    <t>Muito bom, ministra!</t>
  </si>
  <si>
    <t>29/01/2025, 10:07:42</t>
  </si>
  <si>
    <t>https://instagram.fcgh5-1.fna.fbcdn.net/v/t51.82787-19/629192159_18552724234054502_2673385030381474984_n.jpg?stp=dst-jpg_s150x150_tt6&amp;efg=eyJ2ZW5jb2RlX3RhZyI6InByb2ZpbGVfcGljLmRqYW5nby4xMDgwLmMyIn0&amp;_nc_ht=instagram.fcgh5-1.fna.fbcdn.net&amp;_nc_cat=102&amp;_nc_oc=Q6cZ2gGSdxePFjBsqrjTxoEPR4whFaF9EhVS_ITzFq6KyoOxpWwAIzJaPcz5xK72Qv7rrr6Ye6gKp5zTDVixlJgDdT_N&amp;_nc_ohc=G456tT05DO0Q7kNvwHWuJKr&amp;_nc_gid=DXnRIIhJ17c9YrA0jHppNw&amp;edm=AI-cjbYBAAAA&amp;ccb=7-5&amp;oh=00_Af17b4uY1XO21fdT0hNHaRtTFuYp8cMvQgf-GQllGyiO6A&amp;oe=69D86699&amp;_nc_sid=0985b0</t>
  </si>
  <si>
    <t>amanda.pazemecxas</t>
  </si>
  <si>
    <t>Tristeza 😢</t>
  </si>
  <si>
    <t>07/02/2025, 15:44:22</t>
  </si>
  <si>
    <t>https://www.instagram.com/amanda.pazemecxas</t>
  </si>
  <si>
    <t>https://instagram.fcgh5-2.fna.fbcdn.net/v/t51.82787-19/641791666_17904527862361863_2978646073545419076_n.jpg?stp=dst-jpg_s150x150_tt6&amp;efg=eyJ2ZW5jb2RlX3RhZyI6InByb2ZpbGVfcGljLmRqYW5nby4xMDgwLmMyIn0&amp;_nc_ht=instagram.fcgh5-2.fna.fbcdn.net&amp;_nc_cat=103&amp;_nc_oc=Q6cZ2gFXw3zYphAVmP6K5Mk0AyqxBvxeGLYkkjBfctWlbI8y-zCFlQvAZbJvhXTBNtncWLoeLRqof5h_zRUs6JNVmIrV&amp;_nc_ohc=jLqQunUxk5AQ7kNvwENuoHZ&amp;_nc_gid=_4hwgTfraaY2E3zRsjzWdw&amp;edm=AI-cjbYBAAAA&amp;ccb=7-5&amp;oh=00_Af0aePGGSVmJ0bIyeP6CoCdtsmd1JaJ1pEi3BV2MesOnkw&amp;oe=69D882DF&amp;_nc_sid=0985b0</t>
  </si>
  <si>
    <t>jonathas.vna</t>
  </si>
  <si>
    <t>Falso!</t>
  </si>
  <si>
    <t>14/03/2025, 12:17:07</t>
  </si>
  <si>
    <t>https://www.instagram.com/jonathas.vna</t>
  </si>
  <si>
    <t>https://instagram.fcgh5-1.fna.fbcdn.net/v/t51.82787-19/651047179_18259358545291064_8411500832693863379_n.jpg?stp=dst-jpg_s150x150_tt6&amp;efg=eyJ2ZW5jb2RlX3RhZyI6InByb2ZpbGVfcGljLmRqYW5nby4xMDgwLmMyIn0&amp;_nc_ht=instagram.fcgh5-1.fna.fbcdn.net&amp;_nc_cat=108&amp;_nc_oc=Q6cZ2gFXw3zYphAVmP6K5Mk0AyqxBvxeGLYkkjBfctWlbI8y-zCFlQvAZbJvhXTBNtncWLoeLRqof5h_zRUs6JNVmIrV&amp;_nc_ohc=_U0-llrxhTwQ7kNvwG6ZUm4&amp;_nc_gid=_4hwgTfraaY2E3zRsjzWdw&amp;edm=AI-cjbYBAAAA&amp;ccb=7-5&amp;oh=00_Af3rwp-U7UJIsvLFD7uvM5ikH-cnJ1ysXPy3bDMAKRLmPw&amp;oe=69D864A3&amp;_nc_sid=0985b0</t>
  </si>
  <si>
    <t>lucianainocencio.psicologa</t>
  </si>
  <si>
    <t>26/02/2025, 23:48:59</t>
  </si>
  <si>
    <t>https://www.instagram.com/lucianainocencio.psicologa</t>
  </si>
  <si>
    <t>https://instagram.fcgh5-1.fna.fbcdn.net/v/t51.82787-19/637718661_18410415433134713_3803527699406782239_n.jpg?stp=dst-jpg_s150x150_tt6&amp;efg=eyJ2ZW5jb2RlX3RhZyI6InByb2ZpbGVfcGljLmRqYW5nby4xMDgwLmMyIn0&amp;_nc_ht=instagram.fcgh5-1.fna.fbcdn.net&amp;_nc_cat=105&amp;_nc_oc=Q6cZ2gFCaWewliXHX9Xfq-9AaxZZ1JId2abYRygYp1dYFMhkso4jWLm3rZtL_sMQPst5lEV-eV9cf1Xad6S_4NbsCznR&amp;_nc_ohc=gv78hQoft5MQ7kNvwHiLpwg&amp;_nc_gid=uQOm7qLRPbQZtKg1hGn6-g&amp;edm=AI-cjbYBAAAA&amp;ccb=7-5&amp;oh=00_Af1vOQ6QsBJztznAEtQi_3fYriyZSbzoHl_JRNClPRaDpg&amp;oe=69D87B2E&amp;_nc_sid=0985b0</t>
  </si>
  <si>
    <t>Todos aeroportos deveriam ter esse serviço</t>
  </si>
  <si>
    <t>10/04/2025, 21:05:26</t>
  </si>
  <si>
    <t>https://instagram.fcgh5-1.fna.fbcdn.net/v/t51.82787-19/629192159_18552724234054502_2673385030381474984_n.jpg?stp=dst-jpg_s150x150_tt6&amp;efg=eyJ2ZW5jb2RlX3RhZyI6InByb2ZpbGVfcGljLmRqYW5nby4xMDgwLmMyIn0&amp;_nc_ht=instagram.fcgh5-1.fna.fbcdn.net&amp;_nc_cat=102&amp;_nc_oc=Q6cZ2gH51JO3iabqGBR7ekKBOOdpGIO0YLWxUI54Taky1qUGwcspN-b2pz7T94-4CmPOLPDWgVtMFxH4M3ZFsYoklgk-&amp;_nc_ohc=G456tT05DO0Q7kNvwHWuJKr&amp;_nc_gid=BIKhkKPRBvDucn47oig_Wg&amp;edm=AI-cjbYBAAAA&amp;ccb=7-5&amp;oh=00_Af0X9qUaNzC_U4VZpxs1whAg7pUDgrVr-rvfSPRkuoMnyg&amp;oe=69D86699&amp;_nc_sid=0985b0</t>
  </si>
  <si>
    <t>clio_dacenakis</t>
  </si>
  <si>
    <t>Esculhambou com a igreja católica...</t>
  </si>
  <si>
    <t>18/05/2025, 04:58:03</t>
  </si>
  <si>
    <t>https://www.instagram.com/clio_dacenakis</t>
  </si>
  <si>
    <t>https://instagram.fcgh5-2.fna.fbcdn.net/v/t51.82787-19/525502430_18521243599009879_3983748297041764730_n.jpg?stp=dst-jpg_s150x150_tt6&amp;efg=eyJ2ZW5jb2RlX3RhZyI6InByb2ZpbGVfcGljLmRqYW5nby4xMDgwLmMyIn0&amp;_nc_ht=instagram.fcgh5-2.fna.fbcdn.net&amp;_nc_cat=107&amp;_nc_oc=Q6cZ2gFK862g6RXh-wWK0Wxx9bs0u3fxcNPtlVDuGNm79p5uVt5lgcZ3SnjspC1R7Z3nh8JGnnY0m2YtrM6Mdd_MSGPT&amp;_nc_ohc=kJrWpAwLggUQ7kNvwFneVYM&amp;_nc_gid=1jLmH1SG2seDmBhr2mueMg&amp;edm=AI-cjbYBAAAA&amp;ccb=7-5&amp;oh=00_Af1zKGjW5voGttOZ5A1jBQGcMARInQh88zhUohsxK32jiQ&amp;oe=69D86894&amp;_nc_sid=0985b0</t>
  </si>
  <si>
    <t>Agora sim, temos Papa!👏👏👏</t>
  </si>
  <si>
    <t>18/05/2025, 04:58:28</t>
  </si>
  <si>
    <t>Parabéns 👏🏿 a todas mães</t>
  </si>
  <si>
    <t>11/05/2025, 23:17:45</t>
  </si>
  <si>
    <t>https://instagram.fcgh5-1.fna.fbcdn.net/v/t51.82787-19/629192159_18552724234054502_2673385030381474984_n.jpg?stp=dst-jpg_s150x150_tt6&amp;efg=eyJ2ZW5jb2RlX3RhZyI6InByb2ZpbGVfcGljLmRqYW5nby4xMDgwLmMyIn0&amp;_nc_ht=instagram.fcgh5-1.fna.fbcdn.net&amp;_nc_cat=102&amp;_nc_oc=Q6cZ2gGL-v459teQNf_ctGE4ZMB7YONGtGPojNjvQHuoB1AZ_okV3JC9gvaDupZ4kdmnY_uY7opzKWK3uVJY-s4cEyFj&amp;_nc_ohc=G456tT05DO0Q7kNvwHWuJKr&amp;_nc_gid=QWnZBNvwpVWw6JWRdqK6Vg&amp;edm=AI-cjbYBAAAA&amp;ccb=7-5&amp;oh=00_Af1hEbu3f7qKjRsAhapxzh472tDFBrykz_Wq_KeiZu1anw&amp;oe=69D86699&amp;_nc_sid=0985b0</t>
  </si>
  <si>
    <t>https://instagram.fcgh5-1.fna.fbcdn.net/v/t51.82787-19/629192159_18552724234054502_2673385030381474984_n.jpg?stp=dst-jpg_s150x150_tt6&amp;efg=eyJ2ZW5jb2RlX3RhZyI6InByb2ZpbGVfcGljLmRqYW5nby4xMDgwLmMyIn0&amp;_nc_ht=instagram.fcgh5-1.fna.fbcdn.net&amp;_nc_cat=102&amp;_nc_oc=Q6cZ2gGgxBhKVzicuB7sZsH-OaANLXfvSwv54sE644tFS-IylbK7zzI19yyN4K_ACUPj22HiRTV5ivF2JB4AthdXk-TB&amp;_nc_ohc=G456tT05DO0Q7kNvwHWuJKr&amp;_nc_gid=jscTZx4MPG8eKqgSwCHB3g&amp;edm=AI-cjbYBAAAA&amp;ccb=7-5&amp;oh=00_Af0-99Zxp4rfXhD4NMcaaEPZxR1S6tsb1tN88izJgUHiew&amp;oe=69D86699&amp;_nc_sid=0985b0</t>
  </si>
  <si>
    <t>welbertdiascoto</t>
  </si>
  <si>
    <t>Como entrar em contato</t>
  </si>
  <si>
    <t>08/01/2026, 11:02:17</t>
  </si>
  <si>
    <t>https://www.instagram.com/welbertdiascoto</t>
  </si>
  <si>
    <t>https://instagram.fcgh5-1.fna.fbcdn.net/v/t51.82787-19/588406185_17978477528957482_6894611134902951145_n.jpg?stp=dst-jpg_s150x150_tt6&amp;efg=eyJ2ZW5jb2RlX3RhZyI6InByb2ZpbGVfcGljLmRqYW5nby44MjguYzIifQ&amp;_nc_ht=instagram.fcgh5-1.fna.fbcdn.net&amp;_nc_cat=110&amp;_nc_oc=Q6cZ2gG0QkrDHbq75ljzmhEHp4qjVu-OEk89PTtp8pjtHmxFYoOSD_hT71waBAQ4WiOu8f4mFzBbMhTol1AV2518M5es&amp;_nc_ohc=bqc4eIL38aIQ7kNvwEXqvvq&amp;_nc_gid=A67Jw8XO-wrmJ7ODuhesdw&amp;edm=AI-cjbYBAAAA&amp;ccb=7-5&amp;oh=00_Af38hHR6XwH8543g06SzbS-QhQNT0nWdvHInjEiovRKg3w&amp;oe=69D86272&amp;_nc_sid=0985b0</t>
  </si>
  <si>
    <t>https://www.voeazul.com.br/content/azul/voe-azul/br/pt/sobreazul/conheca-azul/trabalhe-na-azul.html</t>
  </si>
  <si>
    <t>08/01/2026, 11:08:27</t>
  </si>
  <si>
    <t>https://instagram.fcgh5-2.fna.fbcdn.net/v/t51.82787-19/574233390_18393115045123935_8706979050179224508_n.jpg?stp=dst-jpg_s150x150_tt6&amp;efg=eyJ2ZW5jb2RlX3RhZyI6InByb2ZpbGVfcGljLmRqYW5nby4xMDgwLmMyIn0&amp;_nc_ht=instagram.fcgh5-2.fna.fbcdn.net&amp;_nc_cat=103&amp;_nc_oc=Q6cZ2gG0QkrDHbq75ljzmhEHp4qjVu-OEk89PTtp8pjtHmxFYoOSD_hT71waBAQ4WiOu8f4mFzBbMhTol1AV2518M5es&amp;_nc_ohc=DthU4rOQI7wQ7kNvwFUA_tX&amp;_nc_gid=A67Jw8XO-wrmJ7ODuhesdw&amp;edm=AI-cjbYBAAAA&amp;ccb=7-5&amp;oh=00_Af2NQ2mM12iIxF6eoJ1ZNEQGGilxMLGjhrDC3O0MoTR8dQ&amp;oe=69D8825A&amp;_nc_sid=0985b0</t>
  </si>
  <si>
    <t>#setoraéreo✈</t>
  </si>
  <si>
    <t>07/05/2025, 18:38:12</t>
  </si>
  <si>
    <t>https://instagram.fcgh5-2.fna.fbcdn.net/v/t51.2885-19/353130805_2047696522257421_6132604364941262418_n.jpg?stp=dst-jpg_s150x150_tt6&amp;efg=eyJ2ZW5jb2RlX3RhZyI6InByb2ZpbGVfcGljLmRqYW5nby42NTYuYzIifQ&amp;_nc_ht=instagram.fcgh5-2.fna.fbcdn.net&amp;_nc_cat=101&amp;_nc_oc=Q6cZ2gGv8WG1E4MJ8H6FzY3Z89DcY-bemh8y9TEJUwqldEgZqVAv5wYTMpA5spxcu3xX8RsP1TkfSwoTjJVSB-y2K_eo&amp;_nc_ohc=56WJAJb7hHkQ7kNvwG53zLZ&amp;_nc_gid=4rgntFYDKKR5OPNWHXc3jw&amp;edm=AI-cjbYBAAAA&amp;ccb=7-5&amp;oh=00_Af38IyTFFnjoDvj7jVnBBWAz0zT95DQ9SsOZc7lw7jMmUg&amp;oe=69D879E6&amp;_nc_sid=0985b0</t>
  </si>
  <si>
    <t>lhspotter</t>
  </si>
  <si>
    <t>Iniciativa Sensacional! 👏👏👏</t>
  </si>
  <si>
    <t>08/05/2025, 22:53:38</t>
  </si>
  <si>
    <t>https://www.instagram.com/lhspotter</t>
  </si>
  <si>
    <t>https://instagram.fcgh5-1.fna.fbcdn.net/v/t51.2885-19/110273508_320258072680486_4239055972295663144_n.jpg?stp=dst-jpg_s150x150_tt6&amp;efg=eyJ2ZW5jb2RlX3RhZyI6InByb2ZpbGVfcGljLmRqYW5nby41ODAuYzIifQ&amp;_nc_ht=instagram.fcgh5-1.fna.fbcdn.net&amp;_nc_cat=110&amp;_nc_oc=Q6cZ2gGv8WG1E4MJ8H6FzY3Z89DcY-bemh8y9TEJUwqldEgZqVAv5wYTMpA5spxcu3xX8RsP1TkfSwoTjJVSB-y2K_eo&amp;_nc_ohc=ou3KDnvFNmsQ7kNvwGDPtB5&amp;_nc_gid=4rgntFYDKKR5OPNWHXc3jw&amp;edm=AI-cjbYBAAAA&amp;ccb=7-5&amp;oh=00_Af3HsMXp2SLTdg26TIOE6YEbP-VgK-qQZfPjGCn3CILprQ&amp;oe=69D85FFE&amp;_nc_sid=0985b0</t>
  </si>
  <si>
    <t>https://instagram.fcgh5-2.fna.fbcdn.net/v/t51.2885-19/353130805_2047696522257421_6132604364941262418_n.jpg?stp=dst-jpg_s150x150_tt6&amp;efg=eyJ2ZW5jb2RlX3RhZyI6InByb2ZpbGVfcGljLmRqYW5nby42NTYuYzIifQ&amp;_nc_ht=instagram.fcgh5-2.fna.fbcdn.net&amp;_nc_cat=101&amp;_nc_oc=Q6cZ2gHnJoMHNHxFM8zg-qsRtP5Ai6Yrv-_lZt0XAITLqjdyVAzQ_NDQvezgOP6CNogy_I0hCbWt9LLZSvMB5swUFOoF&amp;_nc_ohc=56WJAJb7hHkQ7kNvwG53zLZ&amp;_nc_gid=Ouo9Ho7-tA1fzFrxXqLgUw&amp;edm=AI-cjbYBAAAA&amp;ccb=7-5&amp;oh=00_Af2Z8FQJ0vyQv2007EeSqJmm2tTGAf8R2tYut5KIsFbk3w&amp;oe=69D879E6&amp;_nc_sid=0985b0</t>
  </si>
  <si>
    <t>https://instagram.fcgh5-1.fna.fbcdn.net/v/t51.2885-19/110273508_320258072680486_4239055972295663144_n.jpg?stp=dst-jpg_s150x150_tt6&amp;efg=eyJ2ZW5jb2RlX3RhZyI6InByb2ZpbGVfcGljLmRqYW5nby41ODAuYzIifQ&amp;_nc_ht=instagram.fcgh5-1.fna.fbcdn.net&amp;_nc_cat=110&amp;_nc_oc=Q6cZ2gHnJoMHNHxFM8zg-qsRtP5Ai6Yrv-_lZt0XAITLqjdyVAzQ_NDQvezgOP6CNogy_I0hCbWt9LLZSvMB5swUFOoF&amp;_nc_ohc=ou3KDnvFNmsQ7kNvwGDPtB5&amp;_nc_gid=Ouo9Ho7-tA1fzFrxXqLgUw&amp;edm=AI-cjbYBAAAA&amp;ccb=7-5&amp;oh=00_Af1f_2dbgWC2muyGBB6-YwD3ZyoJfxp4wX55AdIple8K9Q&amp;oe=69D85FFE&amp;_nc_sid=0985b0</t>
  </si>
  <si>
    <t>08/05/2025, 20:28:05</t>
  </si>
  <si>
    <t>https://instagram.fcgh5-2.fna.fbcdn.net/v/t51.2885-19/353130805_2047696522257421_6132604364941262418_n.jpg?stp=dst-jpg_s150x150_tt6&amp;efg=eyJ2ZW5jb2RlX3RhZyI6InByb2ZpbGVfcGljLmRqYW5nby42NTYuYzIifQ&amp;_nc_ht=instagram.fcgh5-2.fna.fbcdn.net&amp;_nc_cat=101&amp;_nc_oc=Q6cZ2gEqTCccf2M470Z07dTg0l_xJx5t3vNKlip0172ezVsdgVe_gAJANlZrDf4OkaKDc67ASGjeclOHFJCBGKyB2ocD&amp;_nc_ohc=56WJAJb7hHkQ7kNvwG53zLZ&amp;_nc_gid=gyeyFAEjPjqcrm725kYq5A&amp;edm=AI-cjbYBAAAA&amp;ccb=7-5&amp;oh=00_Af0yXXq8vXgMvqJ6BcX1ctt93faZyTfxbVXtzSEKwTrylA&amp;oe=69D879E6&amp;_nc_sid=0985b0</t>
  </si>
  <si>
    <t>rosebraziltour</t>
  </si>
  <si>
    <t>19/06/2025, 11:53:49</t>
  </si>
  <si>
    <t>https://www.instagram.com/rosebraziltour</t>
  </si>
  <si>
    <t>https://instagram.fcgh5-1.fna.fbcdn.net/v/t51.2885-19/494895971_18504819139028806_3231853225829372385_n.jpg?stp=dst-jpg_s150x150_tt6&amp;efg=eyJ2ZW5jb2RlX3RhZyI6InByb2ZpbGVfcGljLmRqYW5nby4xMDgwLmMyIn0&amp;_nc_ht=instagram.fcgh5-1.fna.fbcdn.net&amp;_nc_cat=110&amp;_nc_oc=Q6cZ2gGzpzD8f5HwHdiJ8rmnk3o371Ipej1BTXRVycdalpAuiZ7MK2bs78Hh2UAQdJI4sGJR3AlhZ8aU-_iMaRDANwOJ&amp;_nc_ohc=TyRaDZoRpO8Q7kNvwGrDrn_&amp;_nc_gid=Bh020aGxxZZTZ2_ehosKXQ&amp;edm=AI-cjbYBAAAA&amp;ccb=7-5&amp;oh=00_Af33YR2W1GnAh2bDBm_LOLQsuUHw8doNbuom3Mg3TL5nWA&amp;oe=69D86687&amp;_nc_sid=0985b0</t>
  </si>
  <si>
    <t>hermesjdispotter</t>
  </si>
  <si>
    <t>Parabéns @aeroportobsb o melhor avaliado😍👏👏👏👏👏👏</t>
  </si>
  <si>
    <t>28/05/2025, 12:45:49</t>
  </si>
  <si>
    <t>https://www.instagram.com/hermesjdispotter</t>
  </si>
  <si>
    <t>https://instagram.fcgh5-2.fna.fbcdn.net/v/t51.82787-19/532118624_18277137565302265_8396598527381779125_n.jpg?stp=dst-jpg_s150x150_tt6&amp;efg=eyJ2ZW5jb2RlX3RhZyI6InByb2ZpbGVfcGljLmRqYW5nby4xMDgwLmMyIn0&amp;_nc_ht=instagram.fcgh5-2.fna.fbcdn.net&amp;_nc_cat=101&amp;_nc_oc=Q6cZ2gGbpxTCwUJ0Q9qb4jlAyzVDb2NXTlFoewXqm6rcjWjLLoryFhQ9xKzBIRk3tOU-9xx3x8SHpiSEQebTv4kkTiNQ&amp;_nc_ohc=anqLUuko9fkQ7kNvwEb3VJg&amp;_nc_gid=C-IOgMGexuJo94byYxG3nQ&amp;edm=AI-cjbYBAAAA&amp;ccb=7-5&amp;oh=00_Af3RsR-fIbrmAQj3Rj0FbEwIoTM6kpklydrS61wIf3-YuA&amp;oe=69D86AE8&amp;_nc_sid=0985b0</t>
  </si>
  <si>
    <t>graicyhartz</t>
  </si>
  <si>
    <t>Parabéns a todos da área 👏👏👏❤️</t>
  </si>
  <si>
    <t>22/06/2025, 10:14:23</t>
  </si>
  <si>
    <t>https://www.instagram.com/graicyhartz</t>
  </si>
  <si>
    <t>https://instagram.fcgh5-2.fna.fbcdn.net/v/t51.2885-19/53759605_2324807954415318_7676786238057086976_n.jpg?stp=dst-jpg_s150x150_tt6&amp;efg=eyJ2ZW5jb2RlX3RhZyI6InByb2ZpbGVfcGljLmRqYW5nby4xMDgwLmMyIn0&amp;_nc_ht=instagram.fcgh5-2.fna.fbcdn.net&amp;_nc_cat=106&amp;_nc_oc=Q6cZ2gH54UOhGErDzLqv7yebTmKcidHhH-BrlufeoaFLzO1xLb59_55z9nmOSFFzQydJJUq42dkHJSXfjV732dxq6URZ&amp;_nc_ohc=dovVvuR0nAYQ7kNvwE9SwmN&amp;_nc_gid=OIlV-81Wu0Z03wo5fVZ99g&amp;edm=AI-cjbYBAAAA&amp;ccb=7-5&amp;oh=00_Af1S14IdeJnoa_UbFZRwge-nbRbE8eEtLQKNCPXMLwkI3Q&amp;oe=69D87524&amp;_nc_sid=0985b0</t>
  </si>
  <si>
    <t>coopertronics</t>
  </si>
  <si>
    <t>Vídeo emocionante!
muito bom!</t>
  </si>
  <si>
    <t>24/07/2025, 19:13:39</t>
  </si>
  <si>
    <t>https://www.instagram.com/coopertronics</t>
  </si>
  <si>
    <t>https://instagram.fcgh5-2.fna.fbcdn.net/v/t51.2885-19/60771896_470374470373050_292331477213904896_n.jpg?stp=dst-jpg_s150x150_tt6&amp;efg=eyJ2ZW5jb2RlX3RhZyI6InByb2ZpbGVfcGljLmRqYW5nby42MDAuYzIifQ&amp;_nc_ht=instagram.fcgh5-2.fna.fbcdn.net&amp;_nc_cat=106&amp;_nc_oc=Q6cZ2gHTb7N5lroYqun2orYdB5Ra2kKO4k29TN8hNF899l5bmL4Io5l2eSLb3DKW7vFRc0BckLtDYBxhqH28k_IRoiZ9&amp;_nc_ohc=GlcGJNAsbTAQ7kNvwECefkO&amp;_nc_gid=M9gJ5o4FhQRlqRXmZgOfaQ&amp;edm=AI-cjbYBAAAA&amp;ccb=7-5&amp;oh=00_Af0iH5dJVy55rza0e133VoY2TVktTvesBnEOENKg29ljxQ&amp;oe=69D86707&amp;_nc_sid=0985b0</t>
  </si>
  <si>
    <t>Depois dá uma olhadinha lá!</t>
  </si>
  <si>
    <t>24/07/2025, 19:13:45</t>
  </si>
  <si>
    <t>https://instagram.fcgh5-2.fna.fbcdn.net/v/t51.82787-19/574233390_18393115045123935_8706979050179224508_n.jpg?stp=dst-jpg_s150x150_tt6&amp;efg=eyJ2ZW5jb2RlX3RhZyI6InByb2ZpbGVfcGljLmRqYW5nby4xMDgwLmMyIn0&amp;_nc_ht=instagram.fcgh5-2.fna.fbcdn.net&amp;_nc_cat=103&amp;_nc_oc=Q6cZ2gHTb7N5lroYqun2orYdB5Ra2kKO4k29TN8hNF899l5bmL4Io5l2eSLb3DKW7vFRc0BckLtDYBxhqH28k_IRoiZ9&amp;_nc_ohc=DthU4rOQI7wQ7kNvwFUA_tX&amp;_nc_gid=M9gJ5o4FhQRlqRXmZgOfaQ&amp;edm=AI-cjbYBAAAA&amp;ccb=7-5&amp;oh=00_Af0GI69bayS3c4aQczpeZW9inB77tvSUo5YJRGCkDk2Utg&amp;oe=69D8825A&amp;_nc_sid=0985b0</t>
  </si>
  <si>
    <t>25/07/2025, 19:50:59</t>
  </si>
  <si>
    <t>https://instagram.fcgh5-2.fna.fbcdn.net/v/t51.82787-19/539255623_18385999264124964_1853617488681232574_n.jpg?stp=dst-jpg_s150x150_tt6&amp;efg=eyJ2ZW5jb2RlX3RhZyI6InByb2ZpbGVfcGljLmRqYW5nby4xMDgwLmMyIn0&amp;_nc_ht=instagram.fcgh5-2.fna.fbcdn.net&amp;_nc_cat=100&amp;_nc_oc=Q6cZ2gHTb7N5lroYqun2orYdB5Ra2kKO4k29TN8hNF899l5bmL4Io5l2eSLb3DKW7vFRc0BckLtDYBxhqH28k_IRoiZ9&amp;_nc_ohc=P6uXwsH8gOUQ7kNvwHrSbYV&amp;_nc_gid=M9gJ5o4FhQRlqRXmZgOfaQ&amp;edm=AI-cjbYBAAAA&amp;ccb=7-5&amp;oh=00_Af38d1UWFMF21Fg9B34G1Huj-P4ON-oZ4PU7uYehN3vFdw&amp;oe=69D868D4&amp;_nc_sid=0985b0</t>
  </si>
  <si>
    <t>Mandei uma mensagem para você!</t>
  </si>
  <si>
    <t>25/07/2025, 19:51:03</t>
  </si>
  <si>
    <t>26/07/2025, 21:13:04</t>
  </si>
  <si>
    <t>https://instagram.fcgh5-2.fna.fbcdn.net/v/t51.2885-19/353130805_2047696522257421_6132604364941262418_n.jpg?stp=dst-jpg_s150x150_tt6&amp;efg=eyJ2ZW5jb2RlX3RhZyI6InByb2ZpbGVfcGljLmRqYW5nby42NTYuYzIifQ&amp;_nc_ht=instagram.fcgh5-2.fna.fbcdn.net&amp;_nc_cat=101&amp;_nc_oc=Q6cZ2gGj4QRJQ1i0wU5HCmQwf0_4Pf1N3LBC_R59vfo1cywYB5bvup5vbiqSptuanF908yB4tmJRROeR7b792ke1CIBU&amp;_nc_ohc=56WJAJb7hHkQ7kNvwG53zLZ&amp;_nc_gid=n6B4_1ZgV8U_xcncAqU34g&amp;edm=AI-cjbYBAAAA&amp;ccb=7-5&amp;oh=00_Af2XpCZXD1qs-7O5Jm0_mPdY5JQbTC7HMbXHPm2-hNOVwQ&amp;oe=69D879E6&amp;_nc_sid=0985b0</t>
  </si>
  <si>
    <t>https://instagram.fcgh5-2.fna.fbcdn.net/v/t51.2885-19/353130805_2047696522257421_6132604364941262418_n.jpg?stp=dst-jpg_s150x150_tt6&amp;efg=eyJ2ZW5jb2RlX3RhZyI6InByb2ZpbGVfcGljLmRqYW5nby42NTYuYzIifQ&amp;_nc_ht=instagram.fcgh5-2.fna.fbcdn.net&amp;_nc_cat=101&amp;_nc_oc=Q6cZ2gEA863PmH62Gj1YdT8hBDEIyYzjoiapkg6Lu60TXTN8tMSeYnb9PaqoyCCuTCUwg_zSdWEMGMyCf7VWJw1BGNkA&amp;_nc_ohc=56WJAJb7hHkQ7kNvwG53zLZ&amp;_nc_gid=mBme1MW8JSYVlrngfmebkg&amp;edm=AI-cjbYBAAAA&amp;ccb=7-5&amp;oh=00_Af1pMsATxmMV_xnKS3FzLqsvH9maJAJSf8b969llo2nG1g&amp;oe=69D879E6&amp;_nc_sid=0985b0</t>
  </si>
  <si>
    <t>https://instagram.fcgh5-2.fna.fbcdn.net/v/t51.2885-19/353130805_2047696522257421_6132604364941262418_n.jpg?stp=dst-jpg_s150x150_tt6&amp;efg=eyJ2ZW5jb2RlX3RhZyI6InByb2ZpbGVfcGljLmRqYW5nby42NTYuYzIifQ&amp;_nc_ht=instagram.fcgh5-2.fna.fbcdn.net&amp;_nc_cat=101&amp;_nc_oc=Q6cZ2gEPyKhMeogUl8Z7j0SINAbhQC6MPAaqlAluzdPoh6EsmVYUXW3rBLqjicZdWYKpyzUA3IIwpN4YjXl6Y5jJ6N-k&amp;_nc_ohc=56WJAJb7hHkQ7kNvwG53zLZ&amp;_nc_gid=PCyAn_A17uTAB3jNtsby5Q&amp;edm=AI-cjbYBAAAA&amp;ccb=7-5&amp;oh=00_Af0yXF9dgundfH6IJNpwNACJAOV4ksTA3r9eQvMGN9FPqA&amp;oe=69D879E6&amp;_nc_sid=0985b0</t>
  </si>
  <si>
    <t>Parabéns Revista Embarque pela reportagem!</t>
  </si>
  <si>
    <t>24/07/2025, 19:27:15</t>
  </si>
  <si>
    <t>https://instagram.fcgh5-2.fna.fbcdn.net/v/t51.2885-19/60771896_470374470373050_292331477213904896_n.jpg?stp=dst-jpg_s150x150_tt6&amp;efg=eyJ2ZW5jb2RlX3RhZyI6InByb2ZpbGVfcGljLmRqYW5nby42MDAuYzIifQ&amp;_nc_ht=instagram.fcgh5-2.fna.fbcdn.net&amp;_nc_cat=106&amp;_nc_oc=Q6cZ2gHQJ1oC5plrbSHIhqfmdGsQ5WdkQDyxmrbAcPgMMksUYcgRnbwVgElO7Ze_HLq_TbC0BCyQzxFlsS1SIQcHz7Sl&amp;_nc_ohc=GlcGJNAsbTAQ7kNvwECefkO&amp;_nc_gid=R90463nrF18wFqiJgXJW-Q&amp;edm=AI-cjbYBAAAA&amp;ccb=7-5&amp;oh=00_Af0WYYygUgxuNDgYjItTPJB02okC_UBMYXnnPBR96Z8j6w&amp;oe=69D86707&amp;_nc_sid=0985b0</t>
  </si>
  <si>
    <t>Onde faz a inscrição?</t>
  </si>
  <si>
    <t>20/08/2025, 14:50:35</t>
  </si>
  <si>
    <t>https://instagram.fcgh5-2.fna.fbcdn.net/v/t51.82787-19/641791666_17904527862361863_2978646073545419076_n.jpg?stp=dst-jpg_s150x150_tt6&amp;efg=eyJ2ZW5jb2RlX3RhZyI6InByb2ZpbGVfcGljLmRqYW5nby4xMDgwLmMyIn0&amp;_nc_ht=instagram.fcgh5-2.fna.fbcdn.net&amp;_nc_cat=103&amp;_nc_oc=Q6cZ2gHp9d7O0IG9PEF70X2vlCELqoio7mx9U1mdft2NG3KQTFp44UE0j1cWoZ6zAWPEdtHYl4yUrMEAU-rcSLXUpxJL&amp;_nc_ohc=jLqQunUxk5AQ7kNvwENuoHZ&amp;_nc_gid=5LGGTfdo6OdLqxrnzFNnVw&amp;edm=AI-cjbYBAAAA&amp;ccb=7-5&amp;oh=00_Af2z-YvTUgfsd2P7yax75NDcxfbwW7hwlRfF7K_Ftlx-pQ&amp;oe=69D882DF&amp;_nc_sid=0985b0</t>
  </si>
  <si>
    <t>sandra.ferro.9</t>
  </si>
  <si>
    <t>Gosto de viajar de avião e se conseguisse uma vaga quem sabe trabalhar na aviação ✈️❤️</t>
  </si>
  <si>
    <t>15/11/2025, 21:55:00</t>
  </si>
  <si>
    <t>https://www.instagram.com/sandra.ferro.9</t>
  </si>
  <si>
    <t>https://instagram.fcgh5-1.fna.fbcdn.net/v/t51.2885-19/25008563_138719156846205_8813011478207528960_n.jpg?stp=dst-jpg_s150x150_tt6&amp;efg=eyJ2ZW5jb2RlX3RhZyI6InByb2ZpbGVfcGljLmRqYW5nby4yMDAuYzIifQ&amp;_nc_ht=instagram.fcgh5-1.fna.fbcdn.net&amp;_nc_cat=109&amp;_nc_oc=Q6cZ2gHWgb3hC9ooRiF8eM_9mqgLeY5jFyiXGtAlcF3Yk69IfMdzT28vynyoB_MWO_h5uRzvNaoNdikKRzwBiw-wzfOx&amp;_nc_ohc=E-PkHRvraCgQ7kNvwGK00eY&amp;_nc_gid=ADMstdLTyfDsv6Z25ogLFA&amp;edm=AI-cjbYBAAAA&amp;ccb=7-5&amp;oh=00_Af02UcD-WZGXCEYDiSRPsO7Ihq17cnDltY6WcqEjoj3jZA&amp;oe=69D8509D&amp;_nc_sid=0985b0</t>
  </si>
  <si>
    <t>https://instagram.fcgh5-1.fna.fbcdn.net/v/t51.2885-19/25008563_138719156846205_8813011478207528960_n.jpg?stp=dst-jpg_s150x150_tt6&amp;efg=eyJ2ZW5jb2RlX3RhZyI6InByb2ZpbGVfcGljLmRqYW5nby4yMDAuYzIifQ&amp;_nc_ht=instagram.fcgh5-1.fna.fbcdn.net&amp;_nc_cat=109&amp;_nc_oc=Q6cZ2gHA4VJfdnS6fyLBg3WHQhZxq2_aj9bq4O3U8MJQidzz5sA_wynjB9U_fS2-anbIcZ8CgVqOaWaGfD-PYM0ipmay&amp;_nc_ohc=E-PkHRvraCgQ7kNvwGK00eY&amp;_nc_gid=79fkl0OPKaSjyd8PMUEzxg&amp;edm=AI-cjbYBAAAA&amp;ccb=7-5&amp;oh=00_Af03bPtc9q4Vv0BvnxmyrOMdyjHrlwQP5XyozSOLcLCPyg&amp;oe=69D8509D&amp;_nc_sid=0985b0</t>
  </si>
  <si>
    <t>laysratier</t>
  </si>
  <si>
    <t>12/09/2025, 18:55:05</t>
  </si>
  <si>
    <t>https://www.instagram.com/laysratier</t>
  </si>
  <si>
    <t>https://instagram.fcgh5-1.fna.fbcdn.net/v/t51.2885-19/475455830_986668673323401_4838608037923617000_n.jpg?stp=dst-jpg_s150x150_tt6&amp;efg=eyJ2ZW5jb2RlX3RhZyI6InByb2ZpbGVfcGljLmRqYW5nby4xMDgwLmMyIn0&amp;_nc_ht=instagram.fcgh5-1.fna.fbcdn.net&amp;_nc_cat=109&amp;_nc_oc=Q6cZ2gE_DkHE7X1oaGz8Gnk7P8bieADS1m79edz6Zvz09v6enUh1-_u_DssDNRUi_LDjHdgequ_NcaP71Ja76YilHY94&amp;_nc_ohc=sUiUigRC8tsQ7kNvwEqg-Il&amp;_nc_gid=1zx7T4iDdyFLpgtbNt68Ow&amp;edm=AI-cjbYBAAAA&amp;ccb=7-5&amp;oh=00_Af0G1dO4RxTQNauS8DaujUu-mdNXEm8SFAqXfSmNyEdo1Q&amp;oe=69D851D6&amp;_nc_sid=0985b0</t>
  </si>
  <si>
    <t>Importante investimento em manutenção, fundamental para assegurar nossa segurança de voo</t>
  </si>
  <si>
    <t>27/09/2025, 19:31:16</t>
  </si>
  <si>
    <t>https://instagram.fcgh5-1.fna.fbcdn.net/v/t51.82787-19/629192159_18552724234054502_2673385030381474984_n.jpg?stp=dst-jpg_s150x150_tt6&amp;efg=eyJ2ZW5jb2RlX3RhZyI6InByb2ZpbGVfcGljLmRqYW5nby4xMDgwLmMyIn0&amp;_nc_ht=instagram.fcgh5-1.fna.fbcdn.net&amp;_nc_cat=102&amp;_nc_oc=Q6cZ2gHv1WFrAsTYRs1JFJfTA9id-_JTILexq2Rp_sjSC62uNVsJ2JGbi_LofaUMFg6U2gQufycv_Kohs4QgYLbroLyV&amp;_nc_ohc=G456tT05DO0Q7kNvwHWuJKr&amp;_nc_gid=4fEiNSV2Pg8k5Z4GYYXaMQ&amp;edm=AI-cjbYBAAAA&amp;ccb=7-5&amp;oh=00_Af2IP9N3zgzwMOycV_a5_Qc00FJn4Syc6BghUqJJC6aj0A&amp;oe=69D86699&amp;_nc_sid=0985b0</t>
  </si>
  <si>
    <t>❤️ parabéns 👏🏿</t>
  </si>
  <si>
    <t>25/10/2025, 17:17:56</t>
  </si>
  <si>
    <t>https://instagram.fcgh5-1.fna.fbcdn.net/v/t51.82787-19/629192159_18552724234054502_2673385030381474984_n.jpg?stp=dst-jpg_s150x150_tt6&amp;efg=eyJ2ZW5jb2RlX3RhZyI6InByb2ZpbGVfcGljLmRqYW5nby4xMDgwLmMyIn0&amp;_nc_ht=instagram.fcgh5-1.fna.fbcdn.net&amp;_nc_cat=102&amp;_nc_oc=Q6cZ2gHkESg-OWCX7lOjXSZwDVY8C18ss_4dgO8Y4fpLUwvr9zbfLUMDicz3QzqjY5z8Nb7o8nnfSnwiBuRuzVzVp3yl&amp;_nc_ohc=G456tT05DO0Q7kNvwHWuJKr&amp;_nc_gid=04ZlHaxjRGIo48YuJHlspQ&amp;edm=AI-cjbYBAAAA&amp;ccb=7-5&amp;oh=00_Af1snxwWbsGSmdFK1D5-Kxn-J-oaXu1OpWRErICYTzd1Qg&amp;oe=69D86699&amp;_nc_sid=0985b0</t>
  </si>
  <si>
    <t>tiago.lima.731135</t>
  </si>
  <si>
    <t>03/11/2025, 18:35:00</t>
  </si>
  <si>
    <t>https://www.instagram.com/tiago.lima.731135</t>
  </si>
  <si>
    <t>https://instagram.fcgh5-2.fna.fbcdn.net/v/t51.2885-19/408229725_1496463767581926_2442025695767117243_n.jpg?stp=dst-jpg_s150x150_tt6&amp;efg=eyJ2ZW5jb2RlX3RhZyI6InByb2ZpbGVfcGljLmRqYW5nby44ODIuYzIifQ&amp;_nc_ht=instagram.fcgh5-2.fna.fbcdn.net&amp;_nc_cat=106&amp;_nc_oc=Q6cZ2gEcuB7BWWMFQAvyWuSbxCH5c6WBubf6va-WMLva0khqmW7QAIEmkSPB_u5dXW0S_D0H4fJqx10ndOK0QOkV84hn&amp;_nc_ohc=MjrEkTUJI9oQ7kNvwGH594k&amp;_nc_gid=oIubNzFZ91__bvUHFqS9Lg&amp;edm=AI-cjbYBAAAA&amp;ccb=7-5&amp;oh=00_Af2QKxxpye8k4ltxl3PSqCkw4FvpmRencNBp6NEgbtwZRg&amp;oe=69D84D63&amp;_nc_sid=0985b0</t>
  </si>
  <si>
    <t>limpafacilservicosespeciais</t>
  </si>
  <si>
    <t>Eu quero me candidatar!</t>
  </si>
  <si>
    <t>07/03/2026, 02:13:04</t>
  </si>
  <si>
    <t>https://www.instagram.com/limpafacilservicosespeciais</t>
  </si>
  <si>
    <t>https://instagram.fcgh5-2.fna.fbcdn.net/v/t51.82787-19/558989852_18537361204065001_6824149930044769889_n.jpg?stp=dst-jpg_s150x150_tt6&amp;efg=eyJ2ZW5jb2RlX3RhZyI6InByb2ZpbGVfcGljLmRqYW5nby44MDAuYzIifQ&amp;_nc_ht=instagram.fcgh5-2.fna.fbcdn.net&amp;_nc_cat=101&amp;_nc_oc=Q6cZ2gEcuB7BWWMFQAvyWuSbxCH5c6WBubf6va-WMLva0khqmW7QAIEmkSPB_u5dXW0S_D0H4fJqx10ndOK0QOkV84hn&amp;_nc_ohc=zYKoPJUdknIQ7kNvwFP9ZVQ&amp;_nc_gid=oIubNzFZ91__bvUHFqS9Lg&amp;edm=AI-cjbYBAAAA&amp;ccb=7-5&amp;oh=00_Af1Yfmldo9a7KYLFPB5zjwIGAgaX4X5VRbR7TpFQsKQXmg&amp;oe=69D862B9&amp;_nc_sid=0985b0</t>
  </si>
  <si>
    <t>joy_rovaris</t>
  </si>
  <si>
    <t>latam segue em ritmo de desordem total... voos atrasados, bagagens demoram@mais de uma@hora para chegarem na esteira. pior cia arrea do Brasil hj</t>
  </si>
  <si>
    <t>03/04/2026, 01:01:44</t>
  </si>
  <si>
    <t>https://www.instagram.com/joy_rovaris</t>
  </si>
  <si>
    <t>https://instagram.fcgh5-2.fna.fbcdn.net/v/t51.2885-19/289190240_502072995032595_3322105471699430428_n.jpg?stp=dst-jpg_s150x150_tt6&amp;efg=eyJ2ZW5jb2RlX3RhZyI6InByb2ZpbGVfcGljLmRqYW5nby43MjAuYzIifQ&amp;_nc_ht=instagram.fcgh5-2.fna.fbcdn.net&amp;_nc_cat=103&amp;_nc_oc=Q6cZ2gEcuB7BWWMFQAvyWuSbxCH5c6WBubf6va-WMLva0khqmW7QAIEmkSPB_u5dXW0S_D0H4fJqx10ndOK0QOkV84hn&amp;_nc_ohc=sIgELsA5b74Q7kNvwFSWd9p&amp;_nc_gid=oIubNzFZ91__bvUHFqS9Lg&amp;edm=AI-cjbYBAAAA&amp;ccb=7-5&amp;oh=00_Af1fFHGQ4kojsm8tPplzlzGfEg8L3a9mNfexRENbdWlV1w&amp;oe=69D86C4C&amp;_nc_sid=0985b0</t>
  </si>
  <si>
    <t>ticomachadoo</t>
  </si>
  <si>
    <t>Sensacional!!!!👏🏽👏🏽👏🏽</t>
  </si>
  <si>
    <t>22/12/2025, 09:41:45</t>
  </si>
  <si>
    <t>https://www.instagram.com/ticomachadoo</t>
  </si>
  <si>
    <t>https://instagram.fcgh5-2.fna.fbcdn.net/v/t51.82787-19/610017932_18549926791001271_3878748612480075955_n.jpg?stp=dst-jpg_s150x150_tt6&amp;efg=eyJ2ZW5jb2RlX3RhZyI6InByb2ZpbGVfcGljLmRqYW5nby4xMDgwLmMyIn0&amp;_nc_ht=instagram.fcgh5-2.fna.fbcdn.net&amp;_nc_cat=103&amp;_nc_oc=Q6cZ2gGZNf0c40O64Ui9qlR1ti2uZWKsTjinq-ud0i4yEN3KyRLE5YHzJMHGpgpzIQVpcMlj4_My6hwg2BgPtieZPrc8&amp;_nc_ohc=yq_D1vt_WZIQ7kNvwH-p3Wp&amp;_nc_gid=6hFmH_3I9JCfulI9jgBueg&amp;edm=AI-cjbYBAAAA&amp;ccb=7-5&amp;oh=00_Af2me8IFG98idvy83rp15I0h6cE78b9fIfq6HhdMaXLejA&amp;oe=69D851B9&amp;_nc_sid=0985b0</t>
  </si>
  <si>
    <t>regimoreira7</t>
  </si>
  <si>
    <t>O aeroporto que deixa a gente mais tenso quando o avião se aproxima da cabeceira dessa pista. 😳</t>
  </si>
  <si>
    <t>01/12/2025, 19:32:00</t>
  </si>
  <si>
    <t>https://www.instagram.com/regimoreira7</t>
  </si>
  <si>
    <t>https://instagram.fcgh5-1.fna.fbcdn.net/v/t51.82787-19/531017775_18488274184070177_3241949022562290129_n.jpg?stp=dst-jpg_s150x150_tt6&amp;efg=eyJ2ZW5jb2RlX3RhZyI6InByb2ZpbGVfcGljLmRqYW5nby4xMDgwLmMyIn0&amp;_nc_ht=instagram.fcgh5-1.fna.fbcdn.net&amp;_nc_cat=105&amp;_nc_oc=Q6cZ2gEuxBG5UuS-TMjbWUvzBK2IA5k8d2FEJEQ-vlFgfUQhIyee5ruws0gMhf6hdLlpO-bvIXJSzf3HlLtNzqoKbUhb&amp;_nc_ohc=ms8LZUL4jMgQ7kNvwHH4fX7&amp;_nc_gid=W4FrpNCk06BXT3z89ar2yQ&amp;edm=AI-cjbYBAAAA&amp;ccb=7-5&amp;oh=00_Af2ydq4tzN8B2nFEiwRmKp4e5qBYtq7SSt9yB8WEMgksoQ&amp;oe=69D84D7F&amp;_nc_sid=0985b0</t>
  </si>
  <si>
    <t>rick_almeida1982</t>
  </si>
  <si>
    <t>02/12/2025, 07:30:25</t>
  </si>
  <si>
    <t>https://www.instagram.com/rick_almeida1982</t>
  </si>
  <si>
    <t>https://instagram.fcgh5-2.fna.fbcdn.net/v/t51.2885-19/470033931_1263585438193518_7626573448046117939_n.jpg?stp=dst-jpg_s150x150_tt6&amp;efg=eyJ2ZW5jb2RlX3RhZyI6InByb2ZpbGVfcGljLmRqYW5nby4xMDgwLmMyIn0&amp;_nc_ht=instagram.fcgh5-2.fna.fbcdn.net&amp;_nc_cat=106&amp;_nc_oc=Q6cZ2gEuxBG5UuS-TMjbWUvzBK2IA5k8d2FEJEQ-vlFgfUQhIyee5ruws0gMhf6hdLlpO-bvIXJSzf3HlLtNzqoKbUhb&amp;_nc_ohc=fMoyIGz6SoMQ7kNvwHeVS7n&amp;_nc_gid=W4FrpNCk06BXT3z89ar2yQ&amp;edm=AI-cjbYBAAAA&amp;ccb=7-5&amp;oh=00_Af1X_kpLbd5gfFqjWQwWGUWscy6j1ZLlw9q9Y4t4lCmEjA&amp;oe=69D863A6&amp;_nc_sid=0985b0</t>
  </si>
  <si>
    <t>dot.priscila</t>
  </si>
  <si>
    <t>4️⃣ só se eu estiver no comando</t>
  </si>
  <si>
    <t>18/02/2026, 22:15:34</t>
  </si>
  <si>
    <t>https://www.instagram.com/dot.priscila</t>
  </si>
  <si>
    <t>https://instagram.fcgh5-1.fna.fbcdn.net/v/t51.82787-19/560067167_18533877664039793_6307132094162637581_n.jpg?stp=dst-jpg_s150x150_tt6&amp;efg=eyJ2ZW5jb2RlX3RhZyI6InByb2ZpbGVfcGljLmRqYW5nby4xMDgwLmMyIn0&amp;_nc_ht=instagram.fcgh5-1.fna.fbcdn.net&amp;_nc_cat=105&amp;_nc_oc=Q6cZ2gHJccWuCyzmYwkl05wWDMceMmzXBfO5l8WFulrdNiYo9QTpr6epQNT_U4KayPsoxI-x6X8j4TXtAjR85JdZylfK&amp;_nc_ohc=SezsBoeqsVcQ7kNvwFHXbAS&amp;_nc_gid=BybxflSrUKC9FzI3H16lZw&amp;edm=AI-cjbYBAAAA&amp;ccb=7-5&amp;oh=00_Af1xJtGlga-AnA32iNja9zKg1uwy4jS9NZG4g6WGduJ-GA&amp;oe=69D8834E&amp;_nc_sid=0985b0</t>
  </si>
  <si>
    <t>somoshiperconectados</t>
  </si>
  <si>
    <t>Justiça! Orelha, presente!</t>
  </si>
  <si>
    <t>28/01/2026, 18:18:37</t>
  </si>
  <si>
    <t>https://www.instagram.com/somoshiperconectados</t>
  </si>
  <si>
    <t>https://instagram.fcgh5-1.fna.fbcdn.net/v/t51.82787-19/554504895_17849410341561377_2914626527731679325_n.jpg?stp=dst-jpg_s150x150_tt6&amp;efg=eyJ2ZW5jb2RlX3RhZyI6InByb2ZpbGVfcGljLmRqYW5nby4xMDgwLmMyIn0&amp;_nc_ht=instagram.fcgh5-1.fna.fbcdn.net&amp;_nc_cat=105&amp;_nc_oc=Q6cZ2gFEI8xvrAV5FVIE_lYSQ-Aw2qozHLxQhMiYSqC42FZ8jr6gAC6HsOvxNEL3dAoKLsPcxrN5N2Crr0ld4n_sSv6j&amp;_nc_ohc=gMOi2MzExAcQ7kNvwFgP6zJ&amp;_nc_gid=mb1fDGXaS_G_45NLHJ2zNw&amp;edm=AI-cjbYBAAAA&amp;ccb=7-5&amp;oh=00_Af3S8xY2NZKRhF0G4Q8p2d5Dzi46yQ84y5L2CIXbwVgKHQ&amp;oe=69D852B8&amp;_nc_sid=0985b0</t>
  </si>
  <si>
    <t>leticiaviationbrasil</t>
  </si>
  <si>
    <t>O dificil é conseguir manter isso com 120.reais mensais</t>
  </si>
  <si>
    <t>23/02/2026, 13:35:25</t>
  </si>
  <si>
    <t>https://www.instagram.com/leticiaviationbrasil</t>
  </si>
  <si>
    <t>https://instagram.fcgh5-2.fna.fbcdn.net/v/t51.82787-19/588436987_17882047953415243_3847143469381663567_n.jpg?stp=dst-jpg_s150x150_tt6&amp;efg=eyJ2ZW5jb2RlX3RhZyI6InByb2ZpbGVfcGljLmRqYW5nby4xMDgwLmMyIn0&amp;_nc_ht=instagram.fcgh5-2.fna.fbcdn.net&amp;_nc_cat=107&amp;_nc_oc=Q6cZ2gEpPgKg1GPnECQl2A2-y1VEDGmjHSQlIgeSATq2RL6kHCOay2mZg9D_GA4S97MpSjxFh3VAXwzddxPpPAlF2DMX&amp;_nc_ohc=JalfCS71aQwQ7kNvwEuhCII&amp;_nc_gid=yY0Vm0ropHKZiW9GQGFtkA&amp;edm=AI-cjbYBAAAA&amp;ccb=7-5&amp;oh=00_Af2sYWfs2kf9XEpl0K_gKhgmyPTTlbH8v5-jFG0OH-xRLQ&amp;oe=69D883CC&amp;_nc_sid=0985b0</t>
  </si>
  <si>
    <t>betaniagiacomini</t>
  </si>
  <si>
    <t>Para o padrão que exigem ainda é pouco, ainda sem contabilizar os estragos na pele!</t>
  </si>
  <si>
    <t>23/02/2026, 14:02:35</t>
  </si>
  <si>
    <t>https://www.instagram.com/betaniagiacomini</t>
  </si>
  <si>
    <t>https://instagram.fcgh5-2.fna.fbcdn.net/v/t51.82787-19/655836216_18569370754010088_5501435177125667107_n.jpg?stp=dst-jpg_s150x150_tt6&amp;efg=eyJ2ZW5jb2RlX3RhZyI6InByb2ZpbGVfcGljLmRqYW5nby4xMDgwLmMyIn0&amp;_nc_ht=instagram.fcgh5-2.fna.fbcdn.net&amp;_nc_cat=100&amp;_nc_oc=Q6cZ2gEpPgKg1GPnECQl2A2-y1VEDGmjHSQlIgeSATq2RL6kHCOay2mZg9D_GA4S97MpSjxFh3VAXwzddxPpPAlF2DMX&amp;_nc_ohc=08dXAKWGpTAQ7kNvwECgyi5&amp;_nc_gid=yY0Vm0ropHKZiW9GQGFtkA&amp;edm=AI-cjbYBAAAA&amp;ccb=7-5&amp;oh=00_Af3aW1aGjJjhJRLFa3JyrGgpqVnzbayj8mnoZHFXpjILnw&amp;oe=69D87B33&amp;_nc_sid=0985b0</t>
  </si>
  <si>
    <t>A favor do natural e cara limpa, mas se exigem o impecável que paguem por isso! Justo!</t>
  </si>
  <si>
    <t>27/02/2026, 00:22:01</t>
  </si>
  <si>
    <t>https://instagram.fcgh5-1.fna.fbcdn.net/v/t51.82787-19/560067167_18533877664039793_6307132094162637581_n.jpg?stp=dst-jpg_s150x150_tt6&amp;efg=eyJ2ZW5jb2RlX3RhZyI6InByb2ZpbGVfcGljLmRqYW5nby4xMDgwLmMyIn0&amp;_nc_ht=instagram.fcgh5-1.fna.fbcdn.net&amp;_nc_cat=105&amp;_nc_oc=Q6cZ2gEpPgKg1GPnECQl2A2-y1VEDGmjHSQlIgeSATq2RL6kHCOay2mZg9D_GA4S97MpSjxFh3VAXwzddxPpPAlF2DMX&amp;_nc_ohc=SezsBoeqsVcQ7kNvwFHXbAS&amp;_nc_gid=yY0Vm0ropHKZiW9GQGFtkA&amp;edm=AI-cjbYBAAAA&amp;ccb=7-5&amp;oh=00_Af2k3k4S7CRekO1k2SbsrghH0-7qLvgnEij7wx6mdCtJYg&amp;oe=69D8834E&amp;_nc_sid=0985b0</t>
  </si>
  <si>
    <t>damemgc</t>
  </si>
  <si>
    <t>A quem importa implantar terror no México?  Como sempre.....🇺🇲🇺🇲</t>
  </si>
  <si>
    <t>23/02/2026, 16:27:11</t>
  </si>
  <si>
    <t>https://www.instagram.com/damemgc</t>
  </si>
  <si>
    <t>https://instagram.fcgh5-2.fna.fbcdn.net/v/t51.2885-19/285509200_126181883238600_6789660968321401229_n.jpg?stp=dst-jpg_s150x150_tt6&amp;efg=eyJ2ZW5jb2RlX3RhZyI6InByb2ZpbGVfcGljLmRqYW5nby4xMDgwLmMyIn0&amp;_nc_ht=instagram.fcgh5-2.fna.fbcdn.net&amp;_nc_cat=100&amp;_nc_oc=Q6cZ2gFtFAyO6TH2wjYiXRybRmwY7WWJyP7gmFyhoZ3u71F8DoduD5Zyat2743sPk2j66CtDQq3XWnE8bdPnwpx-hGNG&amp;_nc_ohc=sfIGO3toKSMQ7kNvwEXM8mB&amp;_nc_gid=SDegWYVXDf1UgdkN0nkuKg&amp;edm=AI-cjbYBAAAA&amp;ccb=7-5&amp;oh=00_Af0z_RZpS15rfVfJ0ZLWPty7H1Z7k-q5t2-m9JzWhx7-_A&amp;oe=69D87957&amp;_nc_sid=0985b0</t>
  </si>
  <si>
    <t>Nossa que tristeza!😢</t>
  </si>
  <si>
    <t>24/02/2026, 16:15:54</t>
  </si>
  <si>
    <t>https://instagram.fcgh5-2.fna.fbcdn.net/v/t51.2885-19/60771896_470374470373050_292331477213904896_n.jpg?stp=dst-jpg_s150x150_tt6&amp;efg=eyJ2ZW5jb2RlX3RhZyI6InByb2ZpbGVfcGljLmRqYW5nby42MDAuYzIifQ&amp;_nc_ht=instagram.fcgh5-2.fna.fbcdn.net&amp;_nc_cat=106&amp;_nc_oc=Q6cZ2gGHEacQzmZm9YgnRzrLtVc87s4_3D7spg2ar9scIug9Z761qG2R65OuqwKrwXotl_izvw9kxlznrTRtaQN5EjgH&amp;_nc_ohc=GlcGJNAsbTAQ7kNvwECefkO&amp;_nc_gid=6ZspmaKepVlwuS3wJ71yJA&amp;edm=AI-cjbYBAAAA&amp;ccb=7-5&amp;oh=00_Af12OuH6JgSSboNJK68PKQD94Nu2A_eJ-EimmRQ2dRp6rQ&amp;oe=69D86707&amp;_nc_sid=0985b0</t>
  </si>
  <si>
    <t>marcelomu7</t>
  </si>
  <si>
    <t>Avião da coca e não dá copa ,nada haver.....</t>
  </si>
  <si>
    <t>27/02/2026, 17:42:09</t>
  </si>
  <si>
    <t>https://www.instagram.com/marcelomu7</t>
  </si>
  <si>
    <t>https://instagram.fcgh5-1.fna.fbcdn.net/v/t51.82787-19/612105933_18336734407241830_7810193782284171623_n.jpg?stp=dst-jpg_s150x150_tt6&amp;efg=eyJ2ZW5jb2RlX3RhZyI6InByb2ZpbGVfcGljLmRqYW5nby42NDAuYzIifQ&amp;_nc_ht=instagram.fcgh5-1.fna.fbcdn.net&amp;_nc_cat=110&amp;_nc_oc=Q6cZ2gGLv5g4zhxcs15uagTFSgEZeLZ8RCX7vJaqdxG15QpFvqUQTDWfEdrI0zFztWiBD4RDtQ38NH_fCqOegSD-1GNL&amp;_nc_ohc=yr-G3fq0Y4IQ7kNvwF_0uuy&amp;_nc_gid=gZbyuNZKF2OKx4WyF6VNDw&amp;edm=AI-cjbYBAAAA&amp;ccb=7-5&amp;oh=00_Af0__l6VFndoe00g0Ly_GN1cQhaNI0143ZO3j8dF2E0UXw&amp;oe=69D86FE2&amp;_nc_sid=0985b0</t>
  </si>
  <si>
    <t>ilse_moura</t>
  </si>
  <si>
    <t>👏👏👏👏👏👏👏👏👏👏</t>
  </si>
  <si>
    <t>09/03/2026, 20:47:50</t>
  </si>
  <si>
    <t>https://www.instagram.com/ilse_moura</t>
  </si>
  <si>
    <t>https://instagram.fcgh5-1.fna.fbcdn.net/v/t51.2885-19/71079069_398235811107182_5791535112554283008_n.jpg?stp=dst-jpg_s150x150_tt6&amp;efg=eyJ2ZW5jb2RlX3RhZyI6InByb2ZpbGVfcGljLmRqYW5nby4xMDgwLmMyIn0&amp;_nc_ht=instagram.fcgh5-1.fna.fbcdn.net&amp;_nc_cat=102&amp;_nc_oc=Q6cZ2gGL7mSiTRa6ZH7lse9cU-HMcKLIfyAJBfD82w2Qzzclv5lWeVxPJfo7Kfh7iB1I_VansgtCqrjqGyRW2VgVJhHv&amp;_nc_ohc=XXI9gkQlSiMQ7kNvwEpwoHz&amp;_nc_gid=ZsrvnZ4kmsaEdfTBw8-SUw&amp;edm=AI-cjbYBAAAA&amp;ccb=7-5&amp;oh=00_Af0BOqxdO-5iixgCgJIfFuOuKAADb6cIbcTfaZQKlM96Hg&amp;oe=69D871A6&amp;_nc_sid=0985b0</t>
  </si>
  <si>
    <t>maramagalhaes18</t>
  </si>
  <si>
    <t>👏👏👏👏👏👏👏</t>
  </si>
  <si>
    <t>09/03/2026, 23:02:45</t>
  </si>
  <si>
    <t>https://www.instagram.com/maramagalhaes18</t>
  </si>
  <si>
    <t>https://instagram.fcgh5-2.fna.fbcdn.net/v/t51.2885-19/293807967_1240556693439199_359725196801389786_n.jpg?stp=dst-jpg_s150x150_tt6&amp;efg=eyJ2ZW5jb2RlX3RhZyI6InByb2ZpbGVfcGljLmRqYW5nby43NTAuYzIifQ&amp;_nc_ht=instagram.fcgh5-2.fna.fbcdn.net&amp;_nc_cat=107&amp;_nc_oc=Q6cZ2gGL7mSiTRa6ZH7lse9cU-HMcKLIfyAJBfD82w2Qzzclv5lWeVxPJfo7Kfh7iB1I_VansgtCqrjqGyRW2VgVJhHv&amp;_nc_ohc=FkktTi956osQ7kNvwFutKR-&amp;_nc_gid=ZsrvnZ4kmsaEdfTBw8-SUw&amp;edm=AI-cjbYBAAAA&amp;ccb=7-5&amp;oh=00_Af03KBZ0eMDRSbMz1UMKH41NN2v0qzKuhs1yk5_i8X3D0A&amp;oe=69D86059&amp;_nc_sid=0985b0</t>
  </si>
  <si>
    <t>Parabéns às aviadoras</t>
  </si>
  <si>
    <t>10/03/2026, 00:10:10</t>
  </si>
  <si>
    <t>https://instagram.fcgh5-1.fna.fbcdn.net/v/t51.82787-19/629192159_18552724234054502_2673385030381474984_n.jpg?stp=dst-jpg_s150x150_tt6&amp;efg=eyJ2ZW5jb2RlX3RhZyI6InByb2ZpbGVfcGljLmRqYW5nby4xMDgwLmMyIn0&amp;_nc_ht=instagram.fcgh5-1.fna.fbcdn.net&amp;_nc_cat=102&amp;_nc_oc=Q6cZ2gGL7mSiTRa6ZH7lse9cU-HMcKLIfyAJBfD82w2Qzzclv5lWeVxPJfo7Kfh7iB1I_VansgtCqrjqGyRW2VgVJhHv&amp;_nc_ohc=G456tT05DO0Q7kNvwHWuJKr&amp;_nc_gid=ZsrvnZ4kmsaEdfTBw8-SUw&amp;edm=AI-cjbYBAAAA&amp;ccb=7-5&amp;oh=00_Af3rIuNXFNCpDNUWfqBwiZ-BbL34Q5Tq9h30d4SvKfZcHg&amp;oe=69D86699&amp;_nc_sid=0985b0</t>
  </si>
  <si>
    <t>marcelinhouber</t>
  </si>
  <si>
    <t>Sensacional !!!🥰🥰🥰🥰🥰🥰🥰🥰🙌😀</t>
  </si>
  <si>
    <t>10/03/2026, 16:47:06</t>
  </si>
  <si>
    <t>https://www.instagram.com/marcelinhouber</t>
  </si>
  <si>
    <t>https://instagram.fcgh5-1.fna.fbcdn.net/v/t51.2885-19/326529733_2010534229154961_3745965796251374771_n.jpg?stp=dst-jpg_s150x150_tt6&amp;efg=eyJ2ZW5jb2RlX3RhZyI6InByb2ZpbGVfcGljLmRqYW5nby4xMDc5LmMyIn0&amp;_nc_ht=instagram.fcgh5-1.fna.fbcdn.net&amp;_nc_cat=109&amp;_nc_oc=Q6cZ2gGL7mSiTRa6ZH7lse9cU-HMcKLIfyAJBfD82w2Qzzclv5lWeVxPJfo7Kfh7iB1I_VansgtCqrjqGyRW2VgVJhHv&amp;_nc_ohc=EYuWcfFTNc8Q7kNvwHA3r7C&amp;_nc_gid=ZsrvnZ4kmsaEdfTBw8-SUw&amp;edm=AI-cjbYBAAAA&amp;ccb=7-5&amp;oh=00_Af2qthg1BKWKrruG0tuTQ39lDlnxALxrfSkxStWTNlfbtg&amp;oe=69D86360&amp;_nc_sid=0985b0</t>
  </si>
  <si>
    <t>irod19</t>
  </si>
  <si>
    <t>🧈 🛬!!👏(x100)</t>
  </si>
  <si>
    <t>10/03/2026, 17:13:49</t>
  </si>
  <si>
    <t>https://www.instagram.com/irod19</t>
  </si>
  <si>
    <t>https://instagram.fcgh5-2.fna.fbcdn.net/v/t51.82787-19/533164813_18399165076136965_4845730272071056718_n.jpg?stp=dst-jpg_s150x150_tt6&amp;efg=eyJ2ZW5jb2RlX3RhZyI6InByb2ZpbGVfcGljLmRqYW5nby4xMDgwLmMyIn0&amp;_nc_ht=instagram.fcgh5-2.fna.fbcdn.net&amp;_nc_cat=101&amp;_nc_oc=Q6cZ2gGL7mSiTRa6ZH7lse9cU-HMcKLIfyAJBfD82w2Qzzclv5lWeVxPJfo7Kfh7iB1I_VansgtCqrjqGyRW2VgVJhHv&amp;_nc_ohc=2B6s9POC_YEQ7kNvwED-_IE&amp;_nc_gid=ZsrvnZ4kmsaEdfTBw8-SUw&amp;edm=AI-cjbYBAAAA&amp;ccb=7-5&amp;oh=00_Af2HC3UmfszSYGfz7HMCxsYjHuOfvwGG_DRKWAluCEoKKg&amp;oe=69D84E27&amp;_nc_sid=0985b0</t>
  </si>
  <si>
    <t>_mamtsai777</t>
  </si>
  <si>
    <t>sexy</t>
  </si>
  <si>
    <t>11/03/2026, 13:57:03</t>
  </si>
  <si>
    <t>https://www.instagram.com/_mamtsai777</t>
  </si>
  <si>
    <t>https://instagram.fcgh5-1.fna.fbcdn.net/v/t51.82787-19/620497958_17851156941657681_759196561663500461_n.jpg?stp=dst-jpg_s150x150_tt6&amp;efg=eyJ2ZW5jb2RlX3RhZyI6InByb2ZpbGVfcGljLmRqYW5nby4xMDgwLmMyIn0&amp;_nc_ht=instagram.fcgh5-1.fna.fbcdn.net&amp;_nc_cat=109&amp;_nc_oc=Q6cZ2gGL7mSiTRa6ZH7lse9cU-HMcKLIfyAJBfD82w2Qzzclv5lWeVxPJfo7Kfh7iB1I_VansgtCqrjqGyRW2VgVJhHv&amp;_nc_ohc=c8tOclerfAUQ7kNvwFy45Q_&amp;_nc_gid=ZsrvnZ4kmsaEdfTBw8-SUw&amp;edm=AI-cjbYBAAAA&amp;ccb=7-5&amp;oh=00_Af14up5tmfJQeFf1dTt2pJ0O3clcRmRsHht-q1HtPlEZvA&amp;oe=69D87BD3&amp;_nc_sid=0985b0</t>
  </si>
  <si>
    <t>ariel.medeirosvianna</t>
  </si>
  <si>
    <t>IA</t>
  </si>
  <si>
    <t>12/03/2026, 18:18:28</t>
  </si>
  <si>
    <t>https://www.instagram.com/ariel.medeirosvianna</t>
  </si>
  <si>
    <t>https://instagram.fcgh5-2.fna.fbcdn.net/v/t51.2885-19/452022686_323749220763807_99127620608937768_n.jpg?stp=dst-jpg_s150x150_tt6&amp;efg=eyJ2ZW5jb2RlX3RhZyI6InByb2ZpbGVfcGljLmRqYW5nby45NzAuYzIifQ&amp;_nc_ht=instagram.fcgh5-2.fna.fbcdn.net&amp;_nc_cat=103&amp;_nc_oc=Q6cZ2gGL7mSiTRa6ZH7lse9cU-HMcKLIfyAJBfD82w2Qzzclv5lWeVxPJfo7Kfh7iB1I_VansgtCqrjqGyRW2VgVJhHv&amp;_nc_ohc=0w50TFSAO9cQ7kNvwEYO3-t&amp;_nc_gid=ZsrvnZ4kmsaEdfTBw8-SUw&amp;edm=AI-cjbYBAAAA&amp;ccb=7-5&amp;oh=00_Af0gVlBruC_EZmmJGTN8zsiJEcqFwXSBPdYH12bEjGDssQ&amp;oe=69D87405&amp;_nc_sid=0985b0</t>
  </si>
  <si>
    <t>franz.5252</t>
  </si>
  <si>
    <t>...Respekt!!!</t>
  </si>
  <si>
    <t>13/03/2026, 07:05:29</t>
  </si>
  <si>
    <t>https://www.instagram.com/franz.5252</t>
  </si>
  <si>
    <t>https://instagram.fcgh5-2.fna.fbcdn.net/v/t51.2885-19/325561901_3416896795257051_2059386389896755631_n.jpg?stp=dst-jpg_s150x150_tt6&amp;efg=eyJ2ZW5jb2RlX3RhZyI6InByb2ZpbGVfcGljLmRqYW5nby43NjguYzIifQ&amp;_nc_ht=instagram.fcgh5-2.fna.fbcdn.net&amp;_nc_cat=103&amp;_nc_oc=Q6cZ2gGL7mSiTRa6ZH7lse9cU-HMcKLIfyAJBfD82w2Qzzclv5lWeVxPJfo7Kfh7iB1I_VansgtCqrjqGyRW2VgVJhHv&amp;_nc_ohc=OlzHRWWR91sQ7kNvwEWbThm&amp;_nc_gid=ZsrvnZ4kmsaEdfTBw8-SUw&amp;edm=AI-cjbYBAAAA&amp;ccb=7-5&amp;oh=00_Af0jWzXiMyAsKwccRa16rTcgCFDE2zxpYuvgwQjkxkxHLQ&amp;oe=69D84DA3&amp;_nc_sid=0985b0</t>
  </si>
  <si>
    <t>juliettsiera</t>
  </si>
  <si>
    <t>Good Landing, Captain Pilot lady😍</t>
  </si>
  <si>
    <t>13/03/2026, 13:52:34</t>
  </si>
  <si>
    <t>https://www.instagram.com/juliettsiera</t>
  </si>
  <si>
    <t>https://scontent-iad6-1.cdninstagram.com/v/t51.2885-19/573323465_1219825463302212_7278921664109726296_n.png?stp=dst-webp&amp;efg=eyJ2ZW5jb2RlX3RhZyI6InByb2ZpbGVfcGljLmRqYW5nby4xNTAuYzIifQ&amp;_nc_ht=scontent-iad6-1.cdninstagram.com&amp;_nc_cat=1&amp;_nc_oc=Q6cZ2gFSnP4HWizVFDMjAgd-WBcgUSzzr9RjUMiTlAhuDhsez1hynDTTGSlHahmyKySJ28x_tfqY10bkbldOrjtRJ-V6&amp;_nc_ohc=a8xHEXzvkAIQ7kNvwF5Sy8y&amp;_nc_gid=BOD-U3zYu8ID3Z69Oa-Q0g&amp;edm=ABedZc0BAAAA&amp;ccb=7-5&amp;ig_cache_key=YW5vbnltb3VzX3Byb2ZpbGVfcGlj.3-ccb7-5&amp;oh=00_Af0_69QvF5KVMUiDFzz_QS4kzy44Kek99tgOdTd2QC440Q&amp;oe=69D87A2A&amp;_nc_sid=20bfc1</t>
  </si>
  <si>
    <t>loicpontois</t>
  </si>
  <si>
    <t>😍the best job in the world</t>
  </si>
  <si>
    <t>17/03/2026, 01:16:27</t>
  </si>
  <si>
    <t>https://www.instagram.com/loicpontois</t>
  </si>
  <si>
    <t>https://instagram.fcgh5-1.fna.fbcdn.net/v/t51.2885-19/347438144_203228699195913_5220520570233658930_n.jpg?stp=dst-jpg_s150x150_tt6&amp;efg=eyJ2ZW5jb2RlX3RhZyI6InByb2ZpbGVfcGljLmRqYW5nby45NTguYzIifQ&amp;_nc_ht=instagram.fcgh5-1.fna.fbcdn.net&amp;_nc_cat=109&amp;_nc_oc=Q6cZ2gGL7mSiTRa6ZH7lse9cU-HMcKLIfyAJBfD82w2Qzzclv5lWeVxPJfo7Kfh7iB1I_VansgtCqrjqGyRW2VgVJhHv&amp;_nc_ohc=CKNjy6EGLlQQ7kNvwFQ9dPg&amp;_nc_gid=ZsrvnZ4kmsaEdfTBw8-SUw&amp;edm=AI-cjbYBAAAA&amp;ccb=7-5&amp;oh=00_Af0-pxP0kN7415lvx_6gyZhQ9aRVxsjoIyuPkzeB7e770w&amp;oe=69D87490&amp;_nc_sid=0985b0</t>
  </si>
  <si>
    <t>dmmontanaro</t>
  </si>
  <si>
    <t>@ariel.medeirosvianna like your brain</t>
  </si>
  <si>
    <t>20/03/2026, 05:34:35</t>
  </si>
  <si>
    <t>https://www.instagram.com/dmmontanaro</t>
  </si>
  <si>
    <t>https://instagram.fcgh5-2.fna.fbcdn.net/v/t51.2885-19/273940541_940674853298787_671102669843478040_n.jpg?stp=dst-jpg_s150x150_tt6&amp;efg=eyJ2ZW5jb2RlX3RhZyI6InByb2ZpbGVfcGljLmRqYW5nby4xMDgwLmMyIn0&amp;_nc_ht=instagram.fcgh5-2.fna.fbcdn.net&amp;_nc_cat=103&amp;_nc_oc=Q6cZ2gGL7mSiTRa6ZH7lse9cU-HMcKLIfyAJBfD82w2Qzzclv5lWeVxPJfo7Kfh7iB1I_VansgtCqrjqGyRW2VgVJhHv&amp;_nc_ohc=gChOlSYPIc0Q7kNvwGzTwG8&amp;_nc_gid=ZsrvnZ4kmsaEdfTBw8-SUw&amp;edm=AI-cjbYBAAAA&amp;ccb=7-5&amp;oh=00_Af0hMRnrM-YAdqrac-I-2Cy67yzy2uAs6xQAw0iIqsDfSQ&amp;oe=69D87AC9&amp;_nc_sid=0985b0</t>
  </si>
  <si>
    <t>fernando.barone</t>
  </si>
  <si>
    <t>24/03/2026, 15:35:08</t>
  </si>
  <si>
    <t>https://www.instagram.com/fernando.barone</t>
  </si>
  <si>
    <t>https://instagram.fcgh5-2.fna.fbcdn.net/v/t51.2885-19/462737313_1924966961350623_5157125011355788434_n.jpg?stp=dst-jpg_s150x150_tt6&amp;efg=eyJ2ZW5jb2RlX3RhZyI6InByb2ZpbGVfcGljLmRqYW5nby4zMjAuYzIifQ&amp;_nc_ht=instagram.fcgh5-2.fna.fbcdn.net&amp;_nc_cat=103&amp;_nc_oc=Q6cZ2gGL7mSiTRa6ZH7lse9cU-HMcKLIfyAJBfD82w2Qzzclv5lWeVxPJfo7Kfh7iB1I_VansgtCqrjqGyRW2VgVJhHv&amp;_nc_ohc=sfVAliiZABIQ7kNvwH7r0wL&amp;_nc_gid=ZsrvnZ4kmsaEdfTBw8-SUw&amp;edm=AI-cjbYBAAAA&amp;ccb=7-5&amp;oh=00_Af3kshGoR49d_VNkQLNWINVrmqgoRCA-LXeC5F_IPjhayg&amp;oe=69D870DA&amp;_nc_sid=0985b0</t>
  </si>
  <si>
    <t>srsoares001</t>
  </si>
  <si>
    <t>👏👏👏👏👏👏👏👏👏👏👏👏👏👏👏👏👏👏👏👏👏</t>
  </si>
  <si>
    <t>28/03/2026, 22:02:37</t>
  </si>
  <si>
    <t>https://www.instagram.com/srsoares001</t>
  </si>
  <si>
    <t>https://instagram.fcgh5-1.fna.fbcdn.net/v/t51.2885-19/307117497_112255611629942_7038341927811974666_n.jpg?stp=dst-jpg_s150x150_tt6&amp;efg=eyJ2ZW5jb2RlX3RhZyI6InByb2ZpbGVfcGljLmRqYW5nby4xMDgwLmMyIn0&amp;_nc_ht=instagram.fcgh5-1.fna.fbcdn.net&amp;_nc_cat=102&amp;_nc_oc=Q6cZ2gGL7mSiTRa6ZH7lse9cU-HMcKLIfyAJBfD82w2Qzzclv5lWeVxPJfo7Kfh7iB1I_VansgtCqrjqGyRW2VgVJhHv&amp;_nc_ohc=g7eIf_wdeogQ7kNvwHYMFmT&amp;_nc_gid=ZsrvnZ4kmsaEdfTBw8-SUw&amp;edm=AI-cjbYBAAAA&amp;ccb=7-5&amp;oh=00_Af05s9D6WF5sOBBWO739cdhldK2RZGulwrPQQtlFDyKC8w&amp;oe=69D84C4B&amp;_nc_sid=0985b0</t>
  </si>
  <si>
    <t>rosangelamaria1790</t>
  </si>
  <si>
    <t>Fantástico</t>
  </si>
  <si>
    <t>03/04/2026, 07:25:39</t>
  </si>
  <si>
    <t>https://www.instagram.com/rosangelamaria1790</t>
  </si>
  <si>
    <t>advogadomarcioarruda</t>
  </si>
  <si>
    <t>Quero saber o que esses países ganham com essa guerra?</t>
  </si>
  <si>
    <t>17/03/2026, 14:42:44</t>
  </si>
  <si>
    <t>https://www.instagram.com/advogadomarcioarruda</t>
  </si>
  <si>
    <t>https://instagram.fcgh5-2.fna.fbcdn.net/v/t51.2885-19/386255285_320421197238808_9099052750269939243_n.jpg?stp=dst-jpg_s150x150_tt6&amp;efg=eyJ2ZW5jb2RlX3RhZyI6InByb2ZpbGVfcGljLmRqYW5nby4xMDgwLmMyIn0&amp;_nc_ht=instagram.fcgh5-2.fna.fbcdn.net&amp;_nc_cat=104&amp;_nc_oc=Q6cZ2gHFZ8-bA3KW4L5dmM_bLQIfaa6BXHc9qBqUZrHiA7aSjJz4UYQ8AXKoAimCTtg5-XhpU5Qir7IGQCIV-ZOxMg1_&amp;_nc_ohc=ij15z7QPx1kQ7kNvwHeGko4&amp;_nc_gid=eu0_jj3QFtzvAncSP5npHQ&amp;edm=AI-cjbYBAAAA&amp;ccb=7-5&amp;oh=00_Af25k6JvnwpoS1msI6b8-CepCfBGNzU-MQ0nyO9gyv87Nw&amp;oe=69D84D91&amp;_nc_sid=0985b0</t>
  </si>
  <si>
    <t>O próprio Trump falou que está a milhares de quilômetros do Iran, ou seja, quem está sendo prejudicado?</t>
  </si>
  <si>
    <t>17/03/2026, 14:44:48</t>
  </si>
  <si>
    <t>nstar777</t>
  </si>
  <si>
    <t>That one doesn't look like Dubai</t>
  </si>
  <si>
    <t>17/03/2026, 15:10:54</t>
  </si>
  <si>
    <t>https://www.instagram.com/nstar777</t>
  </si>
  <si>
    <t>https://instagram.fcgh5-2.fna.fbcdn.net/v/t51.82787-19/573268041_18531296725056061_6677793533280524896_n.jpg?stp=dst-jpg_s150x150_tt6&amp;efg=eyJ2ZW5jb2RlX3RhZyI6InByb2ZpbGVfcGljLmRqYW5nby45NTMuYzIifQ&amp;_nc_ht=instagram.fcgh5-2.fna.fbcdn.net&amp;_nc_cat=101&amp;_nc_oc=Q6cZ2gHFZ8-bA3KW4L5dmM_bLQIfaa6BXHc9qBqUZrHiA7aSjJz4UYQ8AXKoAimCTtg5-XhpU5Qir7IGQCIV-ZOxMg1_&amp;_nc_ohc=CtEeFtq8W2AQ7kNvwGD4Zg7&amp;_nc_gid=eu0_jj3QFtzvAncSP5npHQ&amp;edm=AI-cjbYBAAAA&amp;ccb=7-5&amp;oh=00_Af0TEsP8Wnl112-9STYV1YtBI0f6itOWBtWDEt-ToFt4KA&amp;oe=69D857A3&amp;_nc_sid=0985b0</t>
  </si>
  <si>
    <t>nrlourenco</t>
  </si>
  <si>
    <t>Dubai? Ahahah not!</t>
  </si>
  <si>
    <t>17/03/2026, 19:41:02</t>
  </si>
  <si>
    <t>https://www.instagram.com/nrlourenco</t>
  </si>
  <si>
    <t>https://instagram.fcgh5-1.fna.fbcdn.net/v/t51.82787-19/632278180_18572972974056850_240756036065538933_n.jpg?stp=dst-jpg_s150x150_tt6&amp;efg=eyJ2ZW5jb2RlX3RhZyI6InByb2ZpbGVfcGljLmRqYW5nby4xMDgwLmMyIn0&amp;_nc_ht=instagram.fcgh5-1.fna.fbcdn.net&amp;_nc_cat=110&amp;_nc_oc=Q6cZ2gHFZ8-bA3KW4L5dmM_bLQIfaa6BXHc9qBqUZrHiA7aSjJz4UYQ8AXKoAimCTtg5-XhpU5Qir7IGQCIV-ZOxMg1_&amp;_nc_ohc=QfhfDT7rcvgQ7kNvwF0ZMSg&amp;_nc_gid=eu0_jj3QFtzvAncSP5npHQ&amp;edm=AI-cjbYBAAAA&amp;ccb=7-5&amp;oh=00_Af3za_vDGSBQBGKwNl-v7AnzczrGPuc8DLpKhKAqjIqjHQ&amp;oe=69D86F5B&amp;_nc_sid=0985b0</t>
  </si>
  <si>
    <t>Fake! Not Dubai</t>
  </si>
  <si>
    <t>17/03/2026, 19:41:12</t>
  </si>
  <si>
    <t>man.s00r</t>
  </si>
  <si>
    <t>You're lying.</t>
  </si>
  <si>
    <t>17/03/2026, 20:39:16</t>
  </si>
  <si>
    <t>https://www.instagram.com/man.s00r</t>
  </si>
  <si>
    <t>https://instagram.fcgh5-2.fna.fbcdn.net/v/t51.2885-19/428404204_905892661028784_5169306670514650459_n.jpg?stp=dst-jpg_s150x150_tt6&amp;efg=eyJ2ZW5jb2RlX3RhZyI6InByb2ZpbGVfcGljLmRqYW5nby4xMDgwLmMyIn0&amp;_nc_ht=instagram.fcgh5-2.fna.fbcdn.net&amp;_nc_cat=100&amp;_nc_oc=Q6cZ2gHFZ8-bA3KW4L5dmM_bLQIfaa6BXHc9qBqUZrHiA7aSjJz4UYQ8AXKoAimCTtg5-XhpU5Qir7IGQCIV-ZOxMg1_&amp;_nc_ohc=Nwq1JX6znHsQ7kNvwGglJ8s&amp;_nc_gid=eu0_jj3QFtzvAncSP5npHQ&amp;edm=AI-cjbYBAAAA&amp;ccb=7-5&amp;oh=00_Af3bpLAcDP2U-zzM7AnYuP2Rwf5FNtaj1rDEtC8xJCVTGQ&amp;oe=69D86383&amp;_nc_sid=0985b0</t>
  </si>
  <si>
    <t>You are lying this is a fire for a popular market in Ajman seven years ago</t>
  </si>
  <si>
    <t>17/03/2026, 20:39:56</t>
  </si>
  <si>
    <t>Que absurdo!</t>
  </si>
  <si>
    <t>18/03/2026, 09:50:42</t>
  </si>
  <si>
    <t>https://instagram.fcgh5-1.fna.fbcdn.net/v/t51.2885-19/71079069_398235811107182_5791535112554283008_n.jpg?stp=dst-jpg_s150x150_tt6&amp;efg=eyJ2ZW5jb2RlX3RhZyI6InByb2ZpbGVfcGljLmRqYW5nby4xMDgwLmMyIn0&amp;_nc_ht=instagram.fcgh5-1.fna.fbcdn.net&amp;_nc_cat=102&amp;_nc_oc=Q6cZ2gGil-pDMqZn_DQt33LBSukgm0fHBdHYrQfdlFv_xjcUqqVKcjkdAYh5eo_3XAaGunPkA6mm_ebxkhH12CowjelZ&amp;_nc_ohc=XXI9gkQlSiMQ7kNvwEpwoHz&amp;_nc_gid=nK_7KHCBcfAFHoO6lDfzEg&amp;edm=AI-cjbYBAAAA&amp;ccb=7-5&amp;oh=00_Af1Ll1iSSygF_r7Ro_guOFW9TAk0ceRSgvHUPidT966GIA&amp;oe=69D871A6&amp;_nc_sid=0985b0</t>
  </si>
  <si>
    <t>matifavalsi</t>
  </si>
  <si>
    <t>@flyzila</t>
  </si>
  <si>
    <t>30/03/2026, 10:18:01</t>
  </si>
  <si>
    <t>https://www.instagram.com/matifavalsi</t>
  </si>
  <si>
    <t>https://instagram.fcgh5-2.fna.fbcdn.net/v/t51.2885-19/271141001_293811839436051_4028498664598865237_n.jpg?stp=dst-jpg_s150x150_tt6&amp;efg=eyJ2ZW5jb2RlX3RhZyI6InByb2ZpbGVfcGljLmRqYW5nby41NTIuYzIifQ&amp;_nc_ht=instagram.fcgh5-2.fna.fbcdn.net&amp;_nc_cat=103&amp;_nc_oc=Q6cZ2gF9tspJu9fQrIMc6yjmEuMrKVPbOX1FjNksBTBly1ftFgLVlD0hYvQIEdZR2ok5-1hZdnpXms5s-_O6RN3ITYX6&amp;_nc_ohc=DmJnBjKnvkYQ7kNvwFL8_kG&amp;_nc_gid=2pjxt62ws1NKaUiX9WcewA&amp;edm=AI-cjbYBAAAA&amp;ccb=7-5&amp;oh=00_Af3Ce5T8aTvs26-f85LozZo8FftVDwthaXfG8nfiiK56tg&amp;oe=69D85CE9&amp;_nc_sid=0985b0</t>
  </si>
  <si>
    <t>anaelizafigueiredo</t>
  </si>
  <si>
    <t>Ela arrasa demais!</t>
  </si>
  <si>
    <t>30/03/2026, 15:27:44</t>
  </si>
  <si>
    <t>https://www.instagram.com/anaelizafigueiredo</t>
  </si>
  <si>
    <t>https://instagram.fcgh5-2.fna.fbcdn.net/v/t51.82787-19/658145027_18579009937063050_7408332054067054925_n.jpg?stp=dst-jpg_s150x150_tt6&amp;efg=eyJ2ZW5jb2RlX3RhZyI6InByb2ZpbGVfcGljLmRqYW5nby43NzYuYzIifQ&amp;_nc_ht=instagram.fcgh5-2.fna.fbcdn.net&amp;_nc_cat=106&amp;_nc_oc=Q6cZ2gGQJlSZhjF5nP6LTLvPbDguoVh0zjrftTjae8Hao9LIqdCx7nu-l1VbAxtb3rtEwz0-mLKuWrX02Al5cCVcZFdB&amp;_nc_ohc=Ni4JAwqcRP4Q7kNvwG7VdsS&amp;_nc_gid=BbcU-B7JppHNM1trDAuohQ&amp;edm=AI-cjbYBAAAA&amp;ccb=7-5&amp;oh=00_Af3CG0LKlZd5j1zJQH_JLk1SHfTOi2WHotxCszSuv7Iy0w&amp;oe=69D84C3E&amp;_nc_sid=0985b0</t>
  </si>
  <si>
    <t>📷 @paolavianna</t>
  </si>
  <si>
    <t>30/03/2026, 15:32:24</t>
  </si>
  <si>
    <t>motiva_aeroportos</t>
  </si>
  <si>
    <t>👏🏻👏🏻👏🏻👏🏻</t>
  </si>
  <si>
    <t>30/03/2026, 16:28:16</t>
  </si>
  <si>
    <t>https://www.instagram.com/motiva_aeroportos</t>
  </si>
  <si>
    <t>https://instagram.fcgh5-2.fna.fbcdn.net/v/t51.82787-19/518033602_18019125110721408_737483947045909066_n.jpg?stp=dst-jpg_s150x150_tt6&amp;efg=eyJ2ZW5jb2RlX3RhZyI6InByb2ZpbGVfcGljLmRqYW5nby44MDAuYzIifQ&amp;_nc_ht=instagram.fcgh5-2.fna.fbcdn.net&amp;_nc_cat=100&amp;_nc_oc=Q6cZ2gGQJlSZhjF5nP6LTLvPbDguoVh0zjrftTjae8Hao9LIqdCx7nu-l1VbAxtb3rtEwz0-mLKuWrX02Al5cCVcZFdB&amp;_nc_ohc=b4XfA-tcTDEQ7kNvwGxRtyI&amp;_nc_gid=BbcU-B7JppHNM1trDAuohQ&amp;edm=AI-cjbYBAAAA&amp;ccb=7-5&amp;oh=00_Af0Do-3kjdqfaoW5IMhvXefgPSHgZJ-Id_omXlZTZ5XnZg&amp;oe=69D8512F&amp;_nc_sid=0985b0</t>
  </si>
  <si>
    <t>clara.antonalia</t>
  </si>
  <si>
    <t>Exemplo e Inspiração! ✈️💜</t>
  </si>
  <si>
    <t>30/03/2026, 18:43:18</t>
  </si>
  <si>
    <t>https://www.instagram.com/clara.antonalia</t>
  </si>
  <si>
    <t>https://instagram.fcgh5-1.fna.fbcdn.net/v/t51.2885-19/55816646_409177389881861_4398576445643816960_n.jpg?stp=dst-jpg_s150x150_tt6&amp;efg=eyJ2ZW5jb2RlX3RhZyI6InByb2ZpbGVfcGljLmRqYW5nby4xMDgwLmMyIn0&amp;_nc_ht=instagram.fcgh5-1.fna.fbcdn.net&amp;_nc_cat=105&amp;_nc_oc=Q6cZ2gGQJlSZhjF5nP6LTLvPbDguoVh0zjrftTjae8Hao9LIqdCx7nu-l1VbAxtb3rtEwz0-mLKuWrX02Al5cCVcZFdB&amp;_nc_ohc=XpRAC6Bh2LEQ7kNvwEwaRwO&amp;_nc_gid=BbcU-B7JppHNM1trDAuohQ&amp;edm=AI-cjbYBAAAA&amp;ccb=7-5&amp;oh=00_Af19bdp9gHT16B7BQ9660JmBTVPP2hFtbIzsXBcaltb7_g&amp;oe=69D87613&amp;_nc_sid=0985b0</t>
  </si>
  <si>
    <t>b_heitor</t>
  </si>
  <si>
    <t>Sucesso! 👏✈️</t>
  </si>
  <si>
    <t>30/03/2026, 20:22:29</t>
  </si>
  <si>
    <t>https://www.instagram.com/b_heitor</t>
  </si>
  <si>
    <t>https://instagram.fcgh5-1.fna.fbcdn.net/v/t51.2885-19/469833140_3779635922282942_5908760956592962972_n.jpg?stp=dst-jpg_s150x150_tt6&amp;efg=eyJ2ZW5jb2RlX3RhZyI6InByb2ZpbGVfcGljLmRqYW5nby4xMDgwLmMyIn0&amp;_nc_ht=instagram.fcgh5-1.fna.fbcdn.net&amp;_nc_cat=102&amp;_nc_oc=Q6cZ2gGQJlSZhjF5nP6LTLvPbDguoVh0zjrftTjae8Hao9LIqdCx7nu-l1VbAxtb3rtEwz0-mLKuWrX02Al5cCVcZFdB&amp;_nc_ohc=hCkgGzK0KdIQ7kNvwGhbE8Z&amp;_nc_gid=BbcU-B7JppHNM1trDAuohQ&amp;edm=AI-cjbYBAAAA&amp;ccb=7-5&amp;oh=00_Af3mbT4yPcs0xetskE1iNvUHYuiXXk6CidSNQN8Q6ss1Vw&amp;oe=69D87056&amp;_nc_sid=0985b0</t>
  </si>
  <si>
    <t>jadeloureiro</t>
  </si>
  <si>
    <t>30/03/2026, 20:59:53</t>
  </si>
  <si>
    <t>https://www.instagram.com/jadeloureiro</t>
  </si>
  <si>
    <t>https://instagram.fcgh5-2.fna.fbcdn.net/v/t51.82787-19/607806047_18549997417028503_2567849111610098393_n.jpg?stp=dst-jpg_s150x150_tt6&amp;efg=eyJ2ZW5jb2RlX3RhZyI6InByb2ZpbGVfcGljLmRqYW5nby4xMDgwLmMyIn0&amp;_nc_ht=instagram.fcgh5-2.fna.fbcdn.net&amp;_nc_cat=107&amp;_nc_oc=Q6cZ2gGQJlSZhjF5nP6LTLvPbDguoVh0zjrftTjae8Hao9LIqdCx7nu-l1VbAxtb3rtEwz0-mLKuWrX02Al5cCVcZFdB&amp;_nc_ohc=Z3yf4sXTWQIQ7kNvwGEhZln&amp;_nc_gid=BbcU-B7JppHNM1trDAuohQ&amp;edm=AI-cjbYBAAAA&amp;ccb=7-5&amp;oh=00_Af3KQmTjqwUm9WorpOYmeGzocwTyX5HzR0PGPUc22_qv4Q&amp;oe=69D85FF9&amp;_nc_sid=0985b0</t>
  </si>
  <si>
    <t>lilianfrancoso</t>
  </si>
  <si>
    <t>Sucesso certo ✨✨</t>
  </si>
  <si>
    <t>30/03/2026, 21:37:01</t>
  </si>
  <si>
    <t>https://www.instagram.com/lilianfrancoso</t>
  </si>
  <si>
    <t>https://instagram.fcgh5-1.fna.fbcdn.net/v/t51.2885-19/321105582_520676539859386_1581713289950838989_n.jpg?stp=dst-jpg_s150x150_tt6&amp;efg=eyJ2ZW5jb2RlX3RhZyI6InByb2ZpbGVfcGljLmRqYW5nby4xMDgwLmMyIn0&amp;_nc_ht=instagram.fcgh5-1.fna.fbcdn.net&amp;_nc_cat=110&amp;_nc_oc=Q6cZ2gGQJlSZhjF5nP6LTLvPbDguoVh0zjrftTjae8Hao9LIqdCx7nu-l1VbAxtb3rtEwz0-mLKuWrX02Al5cCVcZFdB&amp;_nc_ohc=jSyiZS88KbsQ7kNvwGPlozM&amp;_nc_gid=BbcU-B7JppHNM1trDAuohQ&amp;edm=AI-cjbYBAAAA&amp;ccb=7-5&amp;oh=00_Af24Pvk9TJKpgkjDRYGeh5qDbD8y4dk_brQZZsHfOH7czQ&amp;oe=69D87FFD&amp;_nc_sid=0985b0</t>
  </si>
  <si>
    <t>fergabrielaa</t>
  </si>
  <si>
    <t>Orgulho 👏👏👏👏</t>
  </si>
  <si>
    <t>30/03/2026, 22:09:23</t>
  </si>
  <si>
    <t>https://www.instagram.com/fergabrielaa</t>
  </si>
  <si>
    <t>https://instagram.fcgh5-2.fna.fbcdn.net/v/t51.2885-19/412330297_744260047580418_7032578105860259040_n.jpg?stp=dst-jpg_s150x150_tt6&amp;efg=eyJ2ZW5jb2RlX3RhZyI6InByb2ZpbGVfcGljLmRqYW5nby4xMDgwLmMyIn0&amp;_nc_ht=instagram.fcgh5-2.fna.fbcdn.net&amp;_nc_cat=106&amp;_nc_oc=Q6cZ2gGQJlSZhjF5nP6LTLvPbDguoVh0zjrftTjae8Hao9LIqdCx7nu-l1VbAxtb3rtEwz0-mLKuWrX02Al5cCVcZFdB&amp;_nc_ohc=KPeXyFOBZA8Q7kNvwGPGGWY&amp;_nc_gid=BbcU-B7JppHNM1trDAuohQ&amp;edm=AI-cjbYBAAAA&amp;ccb=7-5&amp;oh=00_Af1ZTy0aMT53ozfoXPCaZgWe2kS3Z5uN0oqlAB7T-P2VuA&amp;oe=69D86227&amp;_nc_sid=0985b0</t>
  </si>
  <si>
    <t>silvacp01</t>
  </si>
  <si>
    <t>Sucesso @akurebayashi277 👏👏</t>
  </si>
  <si>
    <t>30/03/2026, 22:15:08</t>
  </si>
  <si>
    <t>https://www.instagram.com/silvacp01</t>
  </si>
  <si>
    <t>https://instagram.fcgh5-2.fna.fbcdn.net/v/t51.82787-19/657876176_18261938992289023_2271666308440596532_n.jpg?stp=dst-jpg_s150x150_tt6&amp;efg=eyJ2ZW5jb2RlX3RhZyI6InByb2ZpbGVfcGljLmRqYW5nby4xMDgwLmMyIn0&amp;_nc_ht=instagram.fcgh5-2.fna.fbcdn.net&amp;_nc_cat=107&amp;_nc_oc=Q6cZ2gGQJlSZhjF5nP6LTLvPbDguoVh0zjrftTjae8Hao9LIqdCx7nu-l1VbAxtb3rtEwz0-mLKuWrX02Al5cCVcZFdB&amp;_nc_ohc=IOWxQvaDIcIQ7kNvwG0d6-D&amp;_nc_gid=BbcU-B7JppHNM1trDAuohQ&amp;edm=AI-cjbYBAAAA&amp;ccb=7-5&amp;oh=00_Af1WoIkWONuAAMsKaig3NvhcFvQ62Gq-cC_SxuDmgHotLQ&amp;oe=69D874BF&amp;_nc_sid=0985b0</t>
  </si>
  <si>
    <t>paulolyra39</t>
  </si>
  <si>
    <t>Sucesso 🙌🏾👏🏾🛫</t>
  </si>
  <si>
    <t>30/03/2026, 23:17:20</t>
  </si>
  <si>
    <t>https://www.instagram.com/paulolyra39</t>
  </si>
  <si>
    <t>https://instagram.fcgh5-1.fna.fbcdn.net/v/t51.2885-19/224542582_2320720071395285_3731706073854071111_n.jpg?stp=dst-jpg_s150x150_tt6&amp;efg=eyJ2ZW5jb2RlX3RhZyI6InByb2ZpbGVfcGljLmRqYW5nby41OTIuYzIifQ&amp;_nc_ht=instagram.fcgh5-1.fna.fbcdn.net&amp;_nc_cat=105&amp;_nc_oc=Q6cZ2gGQJlSZhjF5nP6LTLvPbDguoVh0zjrftTjae8Hao9LIqdCx7nu-l1VbAxtb3rtEwz0-mLKuWrX02Al5cCVcZFdB&amp;_nc_ohc=1DyhYVJ3UCMQ7kNvwEYTDLx&amp;_nc_gid=BbcU-B7JppHNM1trDAuohQ&amp;edm=AI-cjbYBAAAA&amp;ccb=7-5&amp;oh=00_Af2atMzE8uLIV6FkkInWWKREpNEbBlJlAoWdpdyViHx_QQ&amp;oe=69D8794E&amp;_nc_sid=0985b0</t>
  </si>
  <si>
    <t>mairapassilongo</t>
  </si>
  <si>
    <t>Que orgulho!! 🤩</t>
  </si>
  <si>
    <t>30/03/2026, 23:22:03</t>
  </si>
  <si>
    <t>https://www.instagram.com/mairapassilongo</t>
  </si>
  <si>
    <t>https://instagram.fcgh5-2.fna.fbcdn.net/v/t51.2885-19/11821860_1658051641085521_1476614416_a.jpg?stp=dst-jpg_s150x150_tt6&amp;efg=eyJ2ZW5jb2RlX3RhZyI6InByb2ZpbGVfcGljLmRqYW5nby4xMDgwLmMyIn0&amp;_nc_ht=instagram.fcgh5-2.fna.fbcdn.net&amp;_nc_cat=101&amp;_nc_oc=Q6cZ2gGQJlSZhjF5nP6LTLvPbDguoVh0zjrftTjae8Hao9LIqdCx7nu-l1VbAxtb3rtEwz0-mLKuWrX02Al5cCVcZFdB&amp;_nc_ohc=BeSta1zO9JQQ7kNvwGNh3K7&amp;_nc_gid=BbcU-B7JppHNM1trDAuohQ&amp;edm=AI-cjbYBAAAA&amp;ccb=7-5&amp;oh=00_Af3cXpI6oumF6jLcQESn2f-GcAg9FxNUdCP1BYlFtqxZWA&amp;oe=69D8523E&amp;_nc_sid=0985b0</t>
  </si>
  <si>
    <t>jordania_aguiarr</t>
  </si>
  <si>
    <t>Que exemplo!! Sucesso!</t>
  </si>
  <si>
    <t>31/03/2026, 06:12:03</t>
  </si>
  <si>
    <t>https://www.instagram.com/jordania_aguiarr</t>
  </si>
  <si>
    <t>https://instagram.fcgh5-2.fna.fbcdn.net/v/t51.2885-19/403842451_307092772220539_7140973602715273155_n.jpg?stp=dst-jpg_s150x150_tt6&amp;efg=eyJ2ZW5jb2RlX3RhZyI6InByb2ZpbGVfcGljLmRqYW5nby4xMDgwLmMyIn0&amp;_nc_ht=instagram.fcgh5-2.fna.fbcdn.net&amp;_nc_cat=107&amp;_nc_oc=Q6cZ2gGQJlSZhjF5nP6LTLvPbDguoVh0zjrftTjae8Hao9LIqdCx7nu-l1VbAxtb3rtEwz0-mLKuWrX02Al5cCVcZFdB&amp;_nc_ohc=7N7dk_kuclMQ7kNvwGs8XC5&amp;_nc_gid=BbcU-B7JppHNM1trDAuohQ&amp;edm=AI-cjbYBAAAA&amp;ccb=7-5&amp;oh=00_Af2sTiA5vTOTQaMFAOWOVFNLgaQ10EWzHGPPWfMxjyvRMQ&amp;oe=69D86E24&amp;_nc_sid=0985b0</t>
  </si>
  <si>
    <t>juliamonturil</t>
  </si>
  <si>
    <t>Que demaisss!! Parabéns @alinekurebayashi !! Muito merecido</t>
  </si>
  <si>
    <t>31/03/2026, 06:24:24</t>
  </si>
  <si>
    <t>https://www.instagram.com/juliamonturil</t>
  </si>
  <si>
    <t>https://instagram.fcgh5-2.fna.fbcdn.net/v/t51.82787-19/658176791_18399402418144063_2878639257676139258_n.jpg?stp=dst-jpg_s150x150_tt6&amp;efg=eyJ2ZW5jb2RlX3RhZyI6InByb2ZpbGVfcGljLmRqYW5nby4xMDgwLmMyIn0&amp;_nc_ht=instagram.fcgh5-2.fna.fbcdn.net&amp;_nc_cat=107&amp;_nc_oc=Q6cZ2gGQJlSZhjF5nP6LTLvPbDguoVh0zjrftTjae8Hao9LIqdCx7nu-l1VbAxtb3rtEwz0-mLKuWrX02Al5cCVcZFdB&amp;_nc_ohc=GlcNqWZEh20Q7kNvwHwjMNS&amp;_nc_gid=BbcU-B7JppHNM1trDAuohQ&amp;edm=AI-cjbYBAAAA&amp;ccb=7-5&amp;oh=00_Af3GHk2WdyspGfuQ3J-Gnz72AN93ZS-00kJK_xmavOKOcQ&amp;oe=69D879F0&amp;_nc_sid=0985b0</t>
  </si>
  <si>
    <t>patricia.alves.perreira</t>
  </si>
  <si>
    <t>01/04/2026, 00:10:59</t>
  </si>
  <si>
    <t>https://www.instagram.com/patricia.alves.perreira</t>
  </si>
  <si>
    <t>https://instagram.fcgh5-2.fna.fbcdn.net/v/t51.82787-19/587290222_18543473392062496_8962921079462384271_n.jpg?stp=dst-jpg_s150x150_tt6&amp;efg=eyJ2ZW5jb2RlX3RhZyI6InByb2ZpbGVfcGljLmRqYW5nby43MTguYzIifQ&amp;_nc_ht=instagram.fcgh5-2.fna.fbcdn.net&amp;_nc_cat=104&amp;_nc_oc=Q6cZ2gGQJlSZhjF5nP6LTLvPbDguoVh0zjrftTjae8Hao9LIqdCx7nu-l1VbAxtb3rtEwz0-mLKuWrX02Al5cCVcZFdB&amp;_nc_ohc=asmTwIC3x6UQ7kNvwEshwBX&amp;_nc_gid=BbcU-B7JppHNM1trDAuohQ&amp;edm=AI-cjbYBAAAA&amp;ccb=7-5&amp;oh=00_Af01ZCN81AwdJiov1gqC4QXSnKbF3FLbE5iqeezuj1hqsw&amp;oe=69D873C3&amp;_nc_sid=0985b0</t>
  </si>
  <si>
    <t>lolap.ooch</t>
  </si>
  <si>
    <t>😢❤️RIP BEAUTIFUL SOULS</t>
  </si>
  <si>
    <t>24/03/2026, 10:37:56</t>
  </si>
  <si>
    <t>https://www.instagram.com/lolap.ooch</t>
  </si>
  <si>
    <t>https://instagram.fbau1-1.fna.fbcdn.net/v/t51.2885-19/573323465_1219825463302212_7278921664109726296_n.png?stp=dst-jpg_e0_s150x150_tt6&amp;efg=eyJ2ZW5jb2RlX3RhZyI6InByb2ZpbGVfcGljLmRqYW5nby4xNTAuYzIifQ&amp;_nc_ht=instagram.fbau1-1.fna.fbcdn.net&amp;_nc_cat=1&amp;_nc_oc=Q6cZ2gGGKjxZrXn83j5mo-HK0ptdAlVnbxCoI8OUGAXjiP9ldRhB--4C7Zyrw71PlWyr9sA&amp;_nc_ohc=a8xHEXzvkAIQ7kNvwFzTobB&amp;_nc_gid=u_eZEfzZxthSomH-YsOeXg&amp;edm=AJ9x6zYBAAAA&amp;ccb=7-5&amp;ig_cache_key=YW5vbnltb3VzX3Byb2ZpbGVfcGlj.3-ccb7-5&amp;oh=00_Af0NZtK42T66XO1WaFoRkwVapvDU1F8_mecBqCiMmUoVeg&amp;oe=69D87A2A&amp;_nc_sid=65462d</t>
  </si>
  <si>
    <t>rustemozarmagan</t>
  </si>
  <si>
    <t>A solemn, but empty speech. ⏬️</t>
  </si>
  <si>
    <t>24/03/2026, 17:40:50</t>
  </si>
  <si>
    <t>https://www.instagram.com/rustemozarmagan</t>
  </si>
  <si>
    <t>https://instagram.fcgh5-1.fna.fbcdn.net/v/t51.82787-19/591170583_18433131112110686_3066888422091631621_n.jpg?stp=dst-jpg_s150x150_tt6&amp;efg=eyJ2ZW5jb2RlX3RhZyI6InByb2ZpbGVfcGljLmRqYW5nby40OTIuYzIifQ&amp;_nc_ht=instagram.fcgh5-1.fna.fbcdn.net&amp;_nc_cat=102&amp;_nc_oc=Q6cZ2gEuZ513cTATLEMe-DThwK4ESxGjsGF3Bxbd61df3yTgylgLDE25jbE9HhUak70auhztB-y6BvZ-vQ3WTZMF_nC7&amp;_nc_ohc=d1yvRXLvtJUQ7kNvwHGOWXL&amp;_nc_gid=j6AZ_Yha0BGajc85LZ9yYw&amp;edm=AI-cjbYBAAAA&amp;ccb=7-5&amp;oh=00_Af3X_O86YGma8l6RY7YNDOTOnXRXJbSuI7LcAmhaDDo6fQ&amp;oe=69D84BF0&amp;_nc_sid=0985b0</t>
  </si>
  <si>
    <t>citizen_of_the_world.982</t>
  </si>
  <si>
    <t>💔😖😢🇲🇦</t>
  </si>
  <si>
    <t>24/03/2026, 18:08:17</t>
  </si>
  <si>
    <t>https://www.instagram.com/citizen_of_the_world.982</t>
  </si>
  <si>
    <t>https://instagram.fcgh5-2.fna.fbcdn.net/v/t51.82787-19/653981491_17940406371171483_7596165218230662850_n.jpg?stp=dst-jpg_s150x150_tt6&amp;efg=eyJ2ZW5jb2RlX3RhZyI6InByb2ZpbGVfcGljLmRqYW5nby4xMDgwLmMyIn0&amp;_nc_ht=instagram.fcgh5-2.fna.fbcdn.net&amp;_nc_cat=103&amp;_nc_oc=Q6cZ2gEuZ513cTATLEMe-DThwK4ESxGjsGF3Bxbd61df3yTgylgLDE25jbE9HhUak70auhztB-y6BvZ-vQ3WTZMF_nC7&amp;_nc_ohc=J0p7VGR_s1QQ7kNvwFVxAqP&amp;_nc_gid=j6AZ_Yha0BGajc85LZ9yYw&amp;edm=AI-cjbYBAAAA&amp;ccb=7-5&amp;oh=00_Af0A6K127VZKdf5iiht27JOkHzmwX7qxV_hl3_-ce-If1A&amp;oe=69D87EA2&amp;_nc_sid=0985b0</t>
  </si>
  <si>
    <t>_leena_mari</t>
  </si>
  <si>
    <t>Very bad! How can he be in that position still?</t>
  </si>
  <si>
    <t>24/03/2026, 22:02:17</t>
  </si>
  <si>
    <t>https://www.instagram.com/_leena_mari</t>
  </si>
  <si>
    <t>https://instagram.fcgh5-1.fna.fbcdn.net/v/t51.82787-19/655713216_18565801543013027_2163808629602843784_n.jpg?stp=dst-jpg_s150x150_tt6&amp;efg=eyJ2ZW5jb2RlX3RhZyI6InByb2ZpbGVfcGljLmRqYW5nby4xMDgwLmMyIn0&amp;_nc_ht=instagram.fcgh5-1.fna.fbcdn.net&amp;_nc_cat=111&amp;_nc_oc=Q6cZ2gEuZ513cTATLEMe-DThwK4ESxGjsGF3Bxbd61df3yTgylgLDE25jbE9HhUak70auhztB-y6BvZ-vQ3WTZMF_nC7&amp;_nc_ohc=tLteEPt2xPoQ7kNvwFlHWMG&amp;_nc_gid=j6AZ_Yha0BGajc85LZ9yYw&amp;edm=AI-cjbYBAAAA&amp;ccb=7-5&amp;oh=00_Af1HVHf1KMTUc9ytVwciT4XR3ZOaHc_PTs7M4AONr25lcw&amp;oe=69D85D92&amp;_nc_sid=0985b0</t>
  </si>
  <si>
    <t>siidpereiiraa</t>
  </si>
  <si>
    <t>Só 12 Anos de atraso ta suave se tratando da maior Cidade da América Latina 😂😂😂😂</t>
  </si>
  <si>
    <t>04/04/2026, 21:20:06</t>
  </si>
  <si>
    <t>https://www.instagram.com/siidpereiiraa</t>
  </si>
  <si>
    <t>https://instagram.fcgh5-1.fna.fbcdn.net/v/t51.82787-19/651822421_18571413100052642_7339876153439224623_n.jpg?stp=dst-jpg_s150x150_tt6&amp;efg=eyJ2ZW5jb2RlX3RhZyI6InByb2ZpbGVfcGljLmRqYW5nby4xMDgwLmMyIn0&amp;_nc_ht=instagram.fcgh5-1.fna.fbcdn.net&amp;_nc_cat=102&amp;_nc_oc=Q6cZ2gF_YhQCK5olC42rSpt1Vfm3tRnnVaPptlgNZqElzJYFiGUll0TDf8erDNTN8oWZ-DnHX2b25Gjpzi3Vcp9xD-LD&amp;_nc_ohc=GfHM-TIAemoQ7kNvwF21mHT&amp;_nc_gid=owj8vXtfFPNkjiYWtkVpow&amp;edm=AI-cjbYBAAAA&amp;ccb=7-5&amp;oh=00_Af3pLyyeHRL7_v0AiuQcg8vRc2j9jEImdK_GompQ5-RO7Q&amp;oe=69D858D8&amp;_nc_sid=0985b0</t>
  </si>
  <si>
    <t>alessandrocorreira</t>
  </si>
  <si>
    <t>@siidpereiiraa e imcompleto ainda kkkkk</t>
  </si>
  <si>
    <t>04/04/2026, 22:38:02</t>
  </si>
  <si>
    <t>https://www.instagram.com/alessandrocorreira</t>
  </si>
  <si>
    <t>https://instagram.fcgh5-1.fna.fbcdn.net/v/t51.2885-19/500281899_18508615186051677_1683630110837192006_n.jpg?stp=dst-jpg_s150x150_tt6&amp;efg=eyJ2ZW5jb2RlX3RhZyI6InByb2ZpbGVfcGljLmRqYW5nby4xMDgwLmMyIn0&amp;_nc_ht=instagram.fcgh5-1.fna.fbcdn.net&amp;_nc_cat=109&amp;_nc_oc=Q6cZ2gF_YhQCK5olC42rSpt1Vfm3tRnnVaPptlgNZqElzJYFiGUll0TDf8erDNTN8oWZ-DnHX2b25Gjpzi3Vcp9xD-LD&amp;_nc_ohc=AGZU3sN4gnYQ7kNvwF7GNnL&amp;_nc_gid=owj8vXtfFPNkjiYWtkVpow&amp;edm=AI-cjbYBAAAA&amp;ccb=7-5&amp;oh=00_Af3WZ4PTpB-SXNfsj9MBjgPV6o2ejOR9OQMHxk4FNQQJMg&amp;oe=69D84AF8&amp;_nc_sid=0985b0</t>
  </si>
  <si>
    <t>bielfelixx28</t>
  </si>
  <si>
    <t>12 anos de atraso pra ainda logo menos cai um pneu igual na linha 15 não ando nisso nem a pau</t>
  </si>
  <si>
    <t>05/04/2026, 13:07:09</t>
  </si>
  <si>
    <t>https://www.instagram.com/bielfelixx28</t>
  </si>
  <si>
    <t>https://instagram.fcgh5-2.fna.fbcdn.net/v/t51.82787-19/625043267_17977094852992371_8115900436717925456_n.jpg?stp=dst-jpg_s150x150_tt6&amp;efg=eyJ2ZW5jb2RlX3RhZyI6InByb2ZpbGVfcGljLmRqYW5nby4xMDgwLmMyIn0&amp;_nc_ht=instagram.fcgh5-2.fna.fbcdn.net&amp;_nc_cat=103&amp;_nc_oc=Q6cZ2gF_YhQCK5olC42rSpt1Vfm3tRnnVaPptlgNZqElzJYFiGUll0TDf8erDNTN8oWZ-DnHX2b25Gjpzi3Vcp9xD-LD&amp;_nc_ohc=r9S2SK8sZc0Q7kNvwG9u9yM&amp;_nc_gid=owj8vXtfFPNkjiYWtkVpow&amp;edm=AI-cjbYBAAAA&amp;ccb=7-5&amp;oh=00_Af3dqKjXCRMG3ANcE7eP_E1mDdlo33V2Hb0PUGLa-W5hmw&amp;oe=69D870F4&amp;_nc_sid=0985b0</t>
  </si>
  <si>
    <t>Falou bonito o comandante do caça, pena o " presidente" não ter entendido 3% do que ouviu..........</t>
  </si>
  <si>
    <t>25/03/2026, 14:53:53</t>
  </si>
  <si>
    <t>https://instagram.fcgh5-2.fna.fbcdn.net/v/t51.2885-19/497633458_18502003720053304_670956419006266092_n.jpg?stp=dst-jpg_s150x150_tt6&amp;efg=eyJ2ZW5jb2RlX3RhZyI6InByb2ZpbGVfcGljLmRqYW5nby43MjAuYzIifQ&amp;_nc_ht=instagram.fcgh5-2.fna.fbcdn.net&amp;_nc_cat=104&amp;_nc_oc=Q6cZ2gFion606dYQX9sUwPMqQUyOy8yyUuRpdl_RL4JX3_gs_Alrwhjb-9YFgKqvt5RGfAGCtArfSGjkO2GxGdURKo6r&amp;_nc_ohc=R9u5BaQ5sKkQ7kNvwH4TV9l&amp;_nc_gid=AUuxPbhT9RCjyYd92WiQKQ&amp;edm=AI-cjbYBAAAA&amp;ccb=7-5&amp;oh=00_Af0rA379ul2KQ01OmZCnA6pJXjxdBFal2IM6rp1uNUICDQ&amp;oe=69D85172&amp;_nc_sid=0985b0</t>
  </si>
  <si>
    <t>Que emoção, caça brasileiro é o nosso Brasil, que orgulho presidente Lula👏</t>
  </si>
  <si>
    <t>25/03/2026, 15:13:23</t>
  </si>
  <si>
    <t>https://instagram.fcgh5-1.fna.fbcdn.net/v/t51.82787-19/629192159_18552724234054502_2673385030381474984_n.jpg?stp=dst-jpg_s150x150_tt6&amp;efg=eyJ2ZW5jb2RlX3RhZyI6InByb2ZpbGVfcGljLmRqYW5nby4xMDgwLmMyIn0&amp;_nc_ht=instagram.fcgh5-1.fna.fbcdn.net&amp;_nc_cat=102&amp;_nc_oc=Q6cZ2gFion606dYQX9sUwPMqQUyOy8yyUuRpdl_RL4JX3_gs_Alrwhjb-9YFgKqvt5RGfAGCtArfSGjkO2GxGdURKo6r&amp;_nc_ohc=G456tT05DO0Q7kNvwHWuJKr&amp;_nc_gid=AUuxPbhT9RCjyYd92WiQKQ&amp;edm=AI-cjbYBAAAA&amp;ccb=7-5&amp;oh=00_Af3wVNzJSEtOebL5ZbzlHojICIRuYPZ2bL1DBiKK7cEAFw&amp;oe=69D86699&amp;_nc_sid=0985b0</t>
  </si>
  <si>
    <t>ricardo_morais_consultoria</t>
  </si>
  <si>
    <t>@vivimidia quanto orgulho né?!? Corrupcão  roubalheira,  bandidagem, 😂😂😂😂</t>
  </si>
  <si>
    <t>26/03/2026, 00:19:46</t>
  </si>
  <si>
    <t>https://www.instagram.com/ricardo_morais_consultoria</t>
  </si>
  <si>
    <t>https://instagram.fcgh5-1.fna.fbcdn.net/v/t51.2885-19/244317010_567093924622316_2765808842118191203_n.jpg?stp=dst-jpg_s150x150_tt6&amp;efg=eyJ2ZW5jb2RlX3RhZyI6InByb2ZpbGVfcGljLmRqYW5nby4zNTkuYzIifQ&amp;_nc_ht=instagram.fcgh5-1.fna.fbcdn.net&amp;_nc_cat=108&amp;_nc_oc=Q6cZ2gFion606dYQX9sUwPMqQUyOy8yyUuRpdl_RL4JX3_gs_Alrwhjb-9YFgKqvt5RGfAGCtArfSGjkO2GxGdURKo6r&amp;_nc_ohc=rRIk8rpYp6gQ7kNvwH2OWoa&amp;_nc_gid=AUuxPbhT9RCjyYd92WiQKQ&amp;edm=AI-cjbYBAAAA&amp;ccb=7-5&amp;oh=00_Af3z0eJv-fqPZTsFgLv3QekOuO2rTOMGzHIJcovhf9nqDA&amp;oe=69D8748E&amp;_nc_sid=0985b0</t>
  </si>
  <si>
    <t>Podia testar o poder de fogo no aerolula.. 😂😂😂</t>
  </si>
  <si>
    <t>26/03/2026, 00:20:16</t>
  </si>
  <si>
    <t>gabrielliimaaa</t>
  </si>
  <si>
    <t>@vivimidia credo 😂😂😂</t>
  </si>
  <si>
    <t>26/03/2026, 06:39:00</t>
  </si>
  <si>
    <t>https://www.instagram.com/gabrielliimaaa</t>
  </si>
  <si>
    <t>https://instagram.fcgh5-2.fna.fbcdn.net/v/t51.2885-19/513489721_18515472436052394_5269694851061283659_n.jpg?stp=dst-jpg_s150x150_tt6&amp;efg=eyJ2ZW5jb2RlX3RhZyI6InByb2ZpbGVfcGljLmRqYW5nby4xMDgwLmMyIn0&amp;_nc_ht=instagram.fcgh5-2.fna.fbcdn.net&amp;_nc_cat=106&amp;_nc_oc=Q6cZ2gFion606dYQX9sUwPMqQUyOy8yyUuRpdl_RL4JX3_gs_Alrwhjb-9YFgKqvt5RGfAGCtArfSGjkO2GxGdURKo6r&amp;_nc_ohc=8E5t6Yj0FHkQ7kNvwF2jyO6&amp;_nc_gid=AUuxPbhT9RCjyYd92WiQKQ&amp;edm=AI-cjbYBAAAA&amp;ccb=7-5&amp;oh=00_Af2xUGgnS7iWuBjvZJLzEyB81Pemgs8_Ya4KKw53IHS2XA&amp;oe=69D87BE0&amp;_nc_sid=0985b0</t>
  </si>
  <si>
    <t>https://instagram.fcgh5-2.fna.fbcdn.net/v/t51.2885-19/497633458_18502003720053304_670956419006266092_n.jpg?stp=dst-jpg_s150x150_tt6&amp;efg=eyJ2ZW5jb2RlX3RhZyI6InByb2ZpbGVfcGljLmRqYW5nby43MjAuYzIifQ&amp;_nc_ht=instagram.fcgh5-2.fna.fbcdn.net&amp;_nc_cat=104&amp;_nc_oc=Q6cZ2gHcYQqaQcpeg-g1ANNPsS2_K9W0h2Dh3HEXZcWVrGn9h6a8UUMgG1EAl4kGMRYUb4gTZdWMkf1k3hZvMImNCIc-&amp;_nc_ohc=R9u5BaQ5sKkQ7kNvwH4TV9l&amp;_nc_gid=Q6UQGVCG0FAGrerr97dH8w&amp;edm=AI-cjbYBAAAA&amp;ccb=7-5&amp;oh=00_Af1YSigqQEHPvA2guUjjGM7cfKU7dImHxKMt44EI5ys8GQ&amp;oe=69D85172&amp;_nc_sid=0985b0</t>
  </si>
  <si>
    <t>https://instagram.fcgh5-1.fna.fbcdn.net/v/t51.82787-19/629192159_18552724234054502_2673385030381474984_n.jpg?stp=dst-jpg_s150x150_tt6&amp;efg=eyJ2ZW5jb2RlX3RhZyI6InByb2ZpbGVfcGljLmRqYW5nby4xMDgwLmMyIn0&amp;_nc_ht=instagram.fcgh5-1.fna.fbcdn.net&amp;_nc_cat=102&amp;_nc_oc=Q6cZ2gHcYQqaQcpeg-g1ANNPsS2_K9W0h2Dh3HEXZcWVrGn9h6a8UUMgG1EAl4kGMRYUb4gTZdWMkf1k3hZvMImNCIc-&amp;_nc_ohc=G456tT05DO0Q7kNvwHWuJKr&amp;_nc_gid=Q6UQGVCG0FAGrerr97dH8w&amp;edm=AI-cjbYBAAAA&amp;ccb=7-5&amp;oh=00_Af3XaDsq5G8XSlIHOnXBnIyfSEhrpHtiT3i5LTf9K097cA&amp;oe=69D86699&amp;_nc_sid=0985b0</t>
  </si>
  <si>
    <t>https://instagram.fcgh5-1.fna.fbcdn.net/v/t51.2885-19/244317010_567093924622316_2765808842118191203_n.jpg?stp=dst-jpg_s150x150_tt6&amp;efg=eyJ2ZW5jb2RlX3RhZyI6InByb2ZpbGVfcGljLmRqYW5nby4zNTkuYzIifQ&amp;_nc_ht=instagram.fcgh5-1.fna.fbcdn.net&amp;_nc_cat=108&amp;_nc_oc=Q6cZ2gHcYQqaQcpeg-g1ANNPsS2_K9W0h2Dh3HEXZcWVrGn9h6a8UUMgG1EAl4kGMRYUb4gTZdWMkf1k3hZvMImNCIc-&amp;_nc_ohc=rRIk8rpYp6gQ7kNvwH2OWoa&amp;_nc_gid=Q6UQGVCG0FAGrerr97dH8w&amp;edm=AI-cjbYBAAAA&amp;ccb=7-5&amp;oh=00_Af35YfvxalKDZgECyYFxs4Gc2eg-rH5-8IUMb1jZRHPP2Q&amp;oe=69D8748E&amp;_nc_sid=0985b0</t>
  </si>
  <si>
    <t>https://instagram.fcgh5-2.fna.fbcdn.net/v/t51.2885-19/513489721_18515472436052394_5269694851061283659_n.jpg?stp=dst-jpg_s150x150_tt6&amp;efg=eyJ2ZW5jb2RlX3RhZyI6InByb2ZpbGVfcGljLmRqYW5nby4xMDgwLmMyIn0&amp;_nc_ht=instagram.fcgh5-2.fna.fbcdn.net&amp;_nc_cat=106&amp;_nc_oc=Q6cZ2gHcYQqaQcpeg-g1ANNPsS2_K9W0h2Dh3HEXZcWVrGn9h6a8UUMgG1EAl4kGMRYUb4gTZdWMkf1k3hZvMImNCIc-&amp;_nc_ohc=8E5t6Yj0FHkQ7kNvwF2jyO6&amp;_nc_gid=Q6UQGVCG0FAGrerr97dH8w&amp;edm=AI-cjbYBAAAA&amp;ccb=7-5&amp;oh=00_Af00MvxAsug8gsc06QIl19jjRQzXgRAOltfgQCKtHew5Mw&amp;oe=69D87BE0&amp;_nc_sid=0985b0</t>
  </si>
  <si>
    <t>Só vi o vídeo para evitar o áudio.......</t>
  </si>
  <si>
    <t>26/03/2026, 12:37:13</t>
  </si>
  <si>
    <t>https://instagram.fcgh5-2.fna.fbcdn.net/v/t51.2885-19/497633458_18502003720053304_670956419006266092_n.jpg?stp=dst-jpg_s150x150_tt6&amp;efg=eyJ2ZW5jb2RlX3RhZyI6InByb2ZpbGVfcGljLmRqYW5nby43MjAuYzIifQ&amp;_nc_ht=instagram.fcgh5-2.fna.fbcdn.net&amp;_nc_cat=104&amp;_nc_oc=Q6cZ2gHM1m1U-4Xt7E5GMR2xIQK4BP_7bLHZ1JNb40P9N7VzhgW9PmdVD-UibR8sJus0fV_yB6Z3PlPo0yMhLnkuSE8w&amp;_nc_ohc=R9u5BaQ5sKkQ7kNvwH4TV9l&amp;_nc_gid=11CQd1tLV8irDjyOoJxjvA&amp;edm=AI-cjbYBAAAA&amp;ccb=7-5&amp;oh=00_Af0MEIIpUi6IJ-shixoNO_1dwSUSTFXhONDGuv0xHK4goA&amp;oe=69D85172&amp;_nc_sid=0985b0</t>
  </si>
  <si>
    <t>c.w_thomas</t>
  </si>
  <si>
    <t>Vagabundo.</t>
  </si>
  <si>
    <t>26/03/2026, 12:40:48</t>
  </si>
  <si>
    <t>https://www.instagram.com/c.w_thomas</t>
  </si>
  <si>
    <t>https://instagram.fcgh5-2.fna.fbcdn.net/v/t51.82787-19/655013911_18530397286069971_3699473853228254092_n.jpg?stp=dst-jpg_s150x150_tt6&amp;efg=eyJ2ZW5jb2RlX3RhZyI6InByb2ZpbGVfcGljLmRqYW5nby4xMDgwLmMyIn0&amp;_nc_ht=instagram.fcgh5-2.fna.fbcdn.net&amp;_nc_cat=103&amp;_nc_oc=Q6cZ2gHM1m1U-4Xt7E5GMR2xIQK4BP_7bLHZ1JNb40P9N7VzhgW9PmdVD-UibR8sJus0fV_yB6Z3PlPo0yMhLnkuSE8w&amp;_nc_ohc=gq35dQUnvnUQ7kNvwHUMW7j&amp;_nc_gid=11CQd1tLV8irDjyOoJxjvA&amp;edm=AI-cjbYBAAAA&amp;ccb=7-5&amp;oh=00_Af2UWhwjLSknDVGJ_NZuuieEZ3uVnMuS5dagcRiahQPZ-g&amp;oe=69D864CD&amp;_nc_sid=0985b0</t>
  </si>
  <si>
    <t>jean.sousa.jcs</t>
  </si>
  <si>
    <t>Nem pra Tr0peçar, C4ir é bater o CR4NI0 😂</t>
  </si>
  <si>
    <t>26/03/2026, 13:20:48</t>
  </si>
  <si>
    <t>https://www.instagram.com/jean.sousa.jcs</t>
  </si>
  <si>
    <t>https://instagram.fcgh5-2.fna.fbcdn.net/v/t51.82787-19/605492737_17892888675385384_7516156429136481420_n.jpg?stp=dst-jpg_s150x150_tt6&amp;efg=eyJ2ZW5jb2RlX3RhZyI6InByb2ZpbGVfcGljLmRqYW5nby4xMDgwLmMyIn0&amp;_nc_ht=instagram.fcgh5-2.fna.fbcdn.net&amp;_nc_cat=104&amp;_nc_oc=Q6cZ2gHM1m1U-4Xt7E5GMR2xIQK4BP_7bLHZ1JNb40P9N7VzhgW9PmdVD-UibR8sJus0fV_yB6Z3PlPo0yMhLnkuSE8w&amp;_nc_ohc=dEQfGGhmYlsQ7kNvwFWFDrf&amp;_nc_gid=11CQd1tLV8irDjyOoJxjvA&amp;edm=AI-cjbYBAAAA&amp;ccb=7-5&amp;oh=00_Af0eLPNCD4Sv98Gmlv5uJIswiqNpNYGHcGrlcijmUjxt1w&amp;oe=69D84D13&amp;_nc_sid=0985b0</t>
  </si>
  <si>
    <t>cmte.emerson</t>
  </si>
  <si>
    <t>🤮</t>
  </si>
  <si>
    <t>26/03/2026, 18:41:36</t>
  </si>
  <si>
    <t>https://www.instagram.com/cmte.emerson</t>
  </si>
  <si>
    <t>https://instagram.fcgh5-1.fna.fbcdn.net/v/t51.2885-19/397489978_6768954753151727_5337075741029010902_n.jpg?stp=dst-jpg_s150x150_tt6&amp;efg=eyJ2ZW5jb2RlX3RhZyI6InByb2ZpbGVfcGljLmRqYW5nby43NjcuYzIifQ&amp;_nc_ht=instagram.fcgh5-1.fna.fbcdn.net&amp;_nc_cat=111&amp;_nc_oc=Q6cZ2gHM1m1U-4Xt7E5GMR2xIQK4BP_7bLHZ1JNb40P9N7VzhgW9PmdVD-UibR8sJus0fV_yB6Z3PlPo0yMhLnkuSE8w&amp;_nc_ohc=pjd3DWQ5ZQQQ7kNvwHlRDZI&amp;_nc_gid=11CQd1tLV8irDjyOoJxjvA&amp;edm=AI-cjbYBAAAA&amp;ccb=7-5&amp;oh=00_Af3DzLyC7wNCgbGRz9O9pG_4ZCHCcfnHti0ueF29xxBXNg&amp;oe=69D859AD&amp;_nc_sid=0985b0</t>
  </si>
  <si>
    <t>danielfanha</t>
  </si>
  <si>
    <t>@flavioratinho não gosta de quem faz, gosta de quem é inútil q só ferrou o país</t>
  </si>
  <si>
    <t>26/03/2026, 19:01:46</t>
  </si>
  <si>
    <t>https://www.instagram.com/danielfanha</t>
  </si>
  <si>
    <t>https://instagram.fcgh5-1.fna.fbcdn.net/v/t51.2885-19/279499652_673579043920910_6823056415059956759_n.jpg?stp=dst-jpg_s150x150_tt6&amp;efg=eyJ2ZW5jb2RlX3RhZyI6InByb2ZpbGVfcGljLmRqYW5nby4xMDgwLmMyIn0&amp;_nc_ht=instagram.fcgh5-1.fna.fbcdn.net&amp;_nc_cat=102&amp;_nc_oc=Q6cZ2gHM1m1U-4Xt7E5GMR2xIQK4BP_7bLHZ1JNb40P9N7VzhgW9PmdVD-UibR8sJus0fV_yB6Z3PlPo0yMhLnkuSE8w&amp;_nc_ohc=SV8SZrhGAPoQ7kNvwHow6K2&amp;_nc_gid=11CQd1tLV8irDjyOoJxjvA&amp;edm=AI-cjbYBAAAA&amp;ccb=7-5&amp;oh=00_Af2yJU3qZ-R7ESJilX-5WwkkRQUJL_8NEkS5wtf4r7LmVw&amp;oe=69D87577&amp;_nc_sid=0985b0</t>
  </si>
  <si>
    <t>rocafec</t>
  </si>
  <si>
    <t>26/03/2026, 19:07:42</t>
  </si>
  <si>
    <t>https://www.instagram.com/rocafec</t>
  </si>
  <si>
    <t>https://instagram.fcgh5-2.fna.fbcdn.net/v/t51.2885-19/21371702_500729896943079_5413880339024052224_a.jpg?stp=dst-jpg_s150x150_tt6&amp;efg=eyJ2ZW5jb2RlX3RhZyI6InByb2ZpbGVfcGljLmRqYW5nby4xMDgwLmMyIn0&amp;_nc_ht=instagram.fcgh5-2.fna.fbcdn.net&amp;_nc_cat=103&amp;_nc_oc=Q6cZ2gHM1m1U-4Xt7E5GMR2xIQK4BP_7bLHZ1JNb40P9N7VzhgW9PmdVD-UibR8sJus0fV_yB6Z3PlPo0yMhLnkuSE8w&amp;_nc_ohc=QOUFsZhUtS0Q7kNvwGcm2Ev&amp;_nc_gid=11CQd1tLV8irDjyOoJxjvA&amp;edm=AI-cjbYBAAAA&amp;ccb=7-5&amp;oh=00_Af2Agch9T3v1qGNY3ZLXByVnSdaiXq4xThHs3MXDsJzoFA&amp;oe=69D861B4&amp;_nc_sid=0985b0</t>
  </si>
  <si>
    <t>@danielfanha , exatamente! Gosto dos funcionários que produzem. Ainda bem que vc me entendeu.</t>
  </si>
  <si>
    <t>26/03/2026, 19:18:21</t>
  </si>
  <si>
    <t>emporio_divinos_</t>
  </si>
  <si>
    <t>Onde já se viu um presidente de um país grande como Brasil se submeter a um presidente desse</t>
  </si>
  <si>
    <t>26/03/2026, 19:19:31</t>
  </si>
  <si>
    <t>https://www.instagram.com/emporio_divinos_</t>
  </si>
  <si>
    <t>https://instagram.fcgh5-2.fna.fbcdn.net/v/t51.2885-19/491518238_1363990774639014_1096704598696898685_n.jpg?stp=dst-jpg_s150x150_tt6&amp;efg=eyJ2ZW5jb2RlX3RhZyI6InByb2ZpbGVfcGljLmRqYW5nby41OTEuYzIifQ&amp;_nc_ht=instagram.fcgh5-2.fna.fbcdn.net&amp;_nc_cat=106&amp;_nc_oc=Q6cZ2gHM1m1U-4Xt7E5GMR2xIQK4BP_7bLHZ1JNb40P9N7VzhgW9PmdVD-UibR8sJus0fV_yB6Z3PlPo0yMhLnkuSE8w&amp;_nc_ohc=0JFwiTqf2OUQ7kNvwEV4OJa&amp;_nc_gid=11CQd1tLV8irDjyOoJxjvA&amp;edm=AI-cjbYBAAAA&amp;ccb=7-5&amp;oh=00_Af3C7U_oY3sCUSfhUHoNreP3HVrVWhsyjxrHolfXFllUuQ&amp;oe=69D84D45&amp;_nc_sid=0985b0</t>
  </si>
  <si>
    <t>a.w._souza_historia_antrop</t>
  </si>
  <si>
    <t>Pena que não seja mais nossa. Os acionistas da Embraer são na imensa maioria estrangeiros..(Fundos de investimentos)...e os poucos brasileiros são os fundos de pensão do BB E CAIXA.</t>
  </si>
  <si>
    <t>26/03/2026, 19:35:24</t>
  </si>
  <si>
    <t>https://www.instagram.com/a.w._souza_historia_antrop</t>
  </si>
  <si>
    <t>https://instagram.fcgh5-1.fna.fbcdn.net/v/t51.82787-19/625258257_17850263748668901_19615849380010167_n.jpg?stp=dst-jpg_s150x150_tt6&amp;efg=eyJ2ZW5jb2RlX3RhZyI6InByb2ZpbGVfcGljLmRqYW5nby4xMDgwLmMyIn0&amp;_nc_ht=instagram.fcgh5-1.fna.fbcdn.net&amp;_nc_cat=109&amp;_nc_oc=Q6cZ2gHM1m1U-4Xt7E5GMR2xIQK4BP_7bLHZ1JNb40P9N7VzhgW9PmdVD-UibR8sJus0fV_yB6Z3PlPo0yMhLnkuSE8w&amp;_nc_ohc=QMg5gNY9qNUQ7kNvwH1RK34&amp;_nc_gid=11CQd1tLV8irDjyOoJxjvA&amp;edm=AI-cjbYBAAAA&amp;ccb=7-5&amp;oh=00_Af2163NyKqARlMQxGKPiQB0hBrfYyOA7OMDGr3lSkItKkA&amp;oe=69D863A2&amp;_nc_sid=0985b0</t>
  </si>
  <si>
    <t>angsrossi</t>
  </si>
  <si>
    <t>Proxima a quebrar.....assim foi quase  com a Azul qdo John deu um quepe p esse descondensdo</t>
  </si>
  <si>
    <t>26/03/2026, 22:16:35</t>
  </si>
  <si>
    <t>https://www.instagram.com/angsrossi</t>
  </si>
  <si>
    <t>https://instagram.fcgh5-1.fna.fbcdn.net/v/t51.2885-19/477150284_999331148677616_2705568924832578314_n.jpg?stp=dst-jpg_s150x150_tt6&amp;efg=eyJ2ZW5jb2RlX3RhZyI6InByb2ZpbGVfcGljLmRqYW5nby4xMDgwLmMyIn0&amp;_nc_ht=instagram.fcgh5-1.fna.fbcdn.net&amp;_nc_cat=108&amp;_nc_oc=Q6cZ2gHM1m1U-4Xt7E5GMR2xIQK4BP_7bLHZ1JNb40P9N7VzhgW9PmdVD-UibR8sJus0fV_yB6Z3PlPo0yMhLnkuSE8w&amp;_nc_ohc=9qvVMKIWAI8Q7kNvwEPhBt6&amp;_nc_gid=11CQd1tLV8irDjyOoJxjvA&amp;edm=AI-cjbYBAAAA&amp;ccb=7-5&amp;oh=00_Af1KMUZT1_pQQidg7k7OamO7tHlbmjDo2GIpTH5ZWu2NBQ&amp;oe=69D8501B&amp;_nc_sid=0985b0</t>
  </si>
  <si>
    <t>chris_tpfer</t>
  </si>
  <si>
    <t>26/03/2026, 22:17:48</t>
  </si>
  <si>
    <t>https://www.instagram.com/chris_tpfer</t>
  </si>
  <si>
    <t>https://instagram.fcgh5-2.fna.fbcdn.net/v/t51.82787-19/609485473_18303224653282207_2254220372753297420_n.jpg?stp=dst-jpg_s150x150_tt6&amp;efg=eyJ2ZW5jb2RlX3RhZyI6InByb2ZpbGVfcGljLmRqYW5nby4xMDgwLmMyIn0&amp;_nc_ht=instagram.fcgh5-2.fna.fbcdn.net&amp;_nc_cat=107&amp;_nc_oc=Q6cZ2gHM1m1U-4Xt7E5GMR2xIQK4BP_7bLHZ1JNb40P9N7VzhgW9PmdVD-UibR8sJus0fV_yB6Z3PlPo0yMhLnkuSE8w&amp;_nc_ohc=9oWS1iyFy2IQ7kNvwHr3vqM&amp;_nc_gid=11CQd1tLV8irDjyOoJxjvA&amp;edm=AI-cjbYBAAAA&amp;ccb=7-5&amp;oh=00_Af3M2hDOLwgz15_3vMwGtHbRZCQM0topUO_vjVixT7ZonA&amp;oe=69D871F1&amp;_nc_sid=0985b0</t>
  </si>
  <si>
    <t>Vergonha é pouco.</t>
  </si>
  <si>
    <t>27/03/2026, 17:25:01</t>
  </si>
  <si>
    <t>https://instagram.fcgh5-1.fna.fbcdn.net/v/t51.2885-19/71079069_398235811107182_5791535112554283008_n.jpg?stp=dst-jpg_s150x150_tt6&amp;efg=eyJ2ZW5jb2RlX3RhZyI6InByb2ZpbGVfcGljLmRqYW5nby4xMDgwLmMyIn0&amp;_nc_ht=instagram.fcgh5-1.fna.fbcdn.net&amp;_nc_cat=102&amp;_nc_oc=Q6cZ2gHM1m1U-4Xt7E5GMR2xIQK4BP_7bLHZ1JNb40P9N7VzhgW9PmdVD-UibR8sJus0fV_yB6Z3PlPo0yMhLnkuSE8w&amp;_nc_ohc=XXI9gkQlSiMQ7kNvwEpwoHz&amp;_nc_gid=11CQd1tLV8irDjyOoJxjvA&amp;edm=AI-cjbYBAAAA&amp;ccb=7-5&amp;oh=00_Af1kdst-0RAFtn45q770kgjVbI2TQOQmJtayiIIDMnW7EQ&amp;oe=69D871A6&amp;_nc_sid=0985b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</si>
</sst>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311"/>
  <sheetViews>
    <sheetView tabSelected="1" topLeftCell="A708" workbookViewId="0"/>
  </sheetViews>
  <sheetFormatPr defaultRowHeight="15" x14ac:dyDescent="0.25"/>
  <cols>
    <col min="1" max="1" width="12.5703125" bestFit="1" customWidth="1"/>
    <col min="2" max="2" width="29.28515625" bestFit="1" customWidth="1"/>
    <col min="3" max="3" width="18.28515625" bestFit="1" customWidth="1"/>
    <col min="4" max="4" width="186.5703125" customWidth="1"/>
    <col min="5" max="5" width="20.42578125" bestFit="1" customWidth="1"/>
    <col min="6" max="6" width="56.28515625" bestFit="1" customWidth="1"/>
  </cols>
  <sheetData>
    <row r="1" spans="1:7" x14ac:dyDescent="0.25">
      <c r="A1" s="1" t="s">
        <v>0</v>
      </c>
      <c r="B1" s="1" t="s">
        <v>1</v>
      </c>
      <c r="C1" s="1" t="s">
        <v>2</v>
      </c>
      <c r="D1" s="1" t="s">
        <v>3</v>
      </c>
      <c r="E1" s="1" t="s">
        <v>4</v>
      </c>
      <c r="F1" s="1" t="s">
        <v>5</v>
      </c>
      <c r="G1" s="1" t="s">
        <v>6</v>
      </c>
    </row>
    <row r="2" spans="1:7" x14ac:dyDescent="0.25">
      <c r="A2">
        <v>14588494320</v>
      </c>
      <c r="B2" t="s">
        <v>7</v>
      </c>
      <c r="C2" t="str">
        <f>"18009010531280034"</f>
        <v>18009010531280034</v>
      </c>
      <c r="D2" t="s">
        <v>8</v>
      </c>
      <c r="E2" t="s">
        <v>9</v>
      </c>
      <c r="F2" t="s">
        <v>10</v>
      </c>
      <c r="G2" t="s">
        <v>11</v>
      </c>
    </row>
    <row r="3" spans="1:7" x14ac:dyDescent="0.25">
      <c r="A3">
        <v>444994437</v>
      </c>
      <c r="B3" t="s">
        <v>12</v>
      </c>
      <c r="C3" t="str">
        <f>"17864094682772134"</f>
        <v>17864094682772134</v>
      </c>
      <c r="D3" t="s">
        <v>13</v>
      </c>
      <c r="E3" t="s">
        <v>14</v>
      </c>
      <c r="F3" t="s">
        <v>15</v>
      </c>
      <c r="G3" t="s">
        <v>16</v>
      </c>
    </row>
    <row r="4" spans="1:7" x14ac:dyDescent="0.25">
      <c r="A4">
        <v>3206536353</v>
      </c>
      <c r="B4" t="s">
        <v>17</v>
      </c>
      <c r="C4" t="str">
        <f>"17862448927781952"</f>
        <v>17862448927781952</v>
      </c>
      <c r="D4" t="s">
        <v>18</v>
      </c>
      <c r="E4" t="s">
        <v>19</v>
      </c>
      <c r="F4" t="s">
        <v>20</v>
      </c>
      <c r="G4" t="s">
        <v>21</v>
      </c>
    </row>
    <row r="5" spans="1:7" x14ac:dyDescent="0.25">
      <c r="A5">
        <v>4972792067</v>
      </c>
      <c r="B5" t="s">
        <v>22</v>
      </c>
      <c r="C5" t="str">
        <f>"18100252615093220"</f>
        <v>18100252615093220</v>
      </c>
      <c r="D5" t="s">
        <v>23</v>
      </c>
      <c r="E5" t="s">
        <v>24</v>
      </c>
      <c r="F5" t="s">
        <v>25</v>
      </c>
      <c r="G5" t="s">
        <v>26</v>
      </c>
    </row>
    <row r="6" spans="1:7" x14ac:dyDescent="0.25">
      <c r="A6">
        <v>14588494320</v>
      </c>
      <c r="B6" t="s">
        <v>7</v>
      </c>
      <c r="C6" t="str">
        <f>"18009010531280034"</f>
        <v>18009010531280034</v>
      </c>
      <c r="D6" t="s">
        <v>8</v>
      </c>
      <c r="E6" t="s">
        <v>9</v>
      </c>
      <c r="F6" t="s">
        <v>10</v>
      </c>
      <c r="G6" t="s">
        <v>11</v>
      </c>
    </row>
    <row r="7" spans="1:7" x14ac:dyDescent="0.25">
      <c r="A7">
        <v>444994437</v>
      </c>
      <c r="B7" t="s">
        <v>12</v>
      </c>
      <c r="C7" t="str">
        <f>"17864094682772134"</f>
        <v>17864094682772134</v>
      </c>
      <c r="D7" t="s">
        <v>13</v>
      </c>
      <c r="E7" t="s">
        <v>14</v>
      </c>
      <c r="F7" t="s">
        <v>15</v>
      </c>
      <c r="G7" t="s">
        <v>16</v>
      </c>
    </row>
    <row r="8" spans="1:7" x14ac:dyDescent="0.25">
      <c r="A8">
        <v>3206536353</v>
      </c>
      <c r="B8" t="s">
        <v>17</v>
      </c>
      <c r="C8" t="str">
        <f>"17862448927781952"</f>
        <v>17862448927781952</v>
      </c>
      <c r="D8" t="s">
        <v>18</v>
      </c>
      <c r="E8" t="s">
        <v>19</v>
      </c>
      <c r="F8" t="s">
        <v>20</v>
      </c>
      <c r="G8" t="s">
        <v>21</v>
      </c>
    </row>
    <row r="9" spans="1:7" x14ac:dyDescent="0.25">
      <c r="A9">
        <v>4972792067</v>
      </c>
      <c r="B9" t="s">
        <v>22</v>
      </c>
      <c r="C9" t="str">
        <f>"18100252615093220"</f>
        <v>18100252615093220</v>
      </c>
      <c r="D9" t="s">
        <v>23</v>
      </c>
      <c r="E9" t="s">
        <v>24</v>
      </c>
      <c r="F9" t="s">
        <v>25</v>
      </c>
      <c r="G9" t="s">
        <v>26</v>
      </c>
    </row>
    <row r="10" spans="1:7" x14ac:dyDescent="0.25">
      <c r="A10">
        <v>247212052</v>
      </c>
      <c r="B10" t="s">
        <v>27</v>
      </c>
      <c r="C10" t="str">
        <f>"17846061521062934"</f>
        <v>17846061521062934</v>
      </c>
      <c r="D10" t="s">
        <v>28</v>
      </c>
      <c r="E10" t="s">
        <v>29</v>
      </c>
      <c r="F10" t="s">
        <v>30</v>
      </c>
      <c r="G10" t="s">
        <v>31</v>
      </c>
    </row>
    <row r="11" spans="1:7" x14ac:dyDescent="0.25">
      <c r="A11">
        <v>247212052</v>
      </c>
      <c r="B11" t="s">
        <v>27</v>
      </c>
      <c r="C11" t="str">
        <f>"17846061521062934"</f>
        <v>17846061521062934</v>
      </c>
      <c r="D11" t="s">
        <v>28</v>
      </c>
      <c r="E11" t="s">
        <v>29</v>
      </c>
      <c r="F11" t="s">
        <v>30</v>
      </c>
      <c r="G11" t="s">
        <v>32</v>
      </c>
    </row>
    <row r="12" spans="1:7" x14ac:dyDescent="0.25">
      <c r="A12">
        <v>247212052</v>
      </c>
      <c r="B12" t="s">
        <v>27</v>
      </c>
      <c r="C12" t="str">
        <f>"17846061521062934"</f>
        <v>17846061521062934</v>
      </c>
      <c r="D12" t="s">
        <v>28</v>
      </c>
      <c r="E12" t="s">
        <v>29</v>
      </c>
      <c r="F12" t="s">
        <v>30</v>
      </c>
      <c r="G12" t="s">
        <v>31</v>
      </c>
    </row>
    <row r="13" spans="1:7" x14ac:dyDescent="0.25">
      <c r="A13">
        <v>4972792067</v>
      </c>
      <c r="B13" t="s">
        <v>22</v>
      </c>
      <c r="C13" t="str">
        <f>"17858574541874412"</f>
        <v>17858574541874412</v>
      </c>
      <c r="D13" t="s">
        <v>33</v>
      </c>
      <c r="E13" t="s">
        <v>34</v>
      </c>
      <c r="F13" t="s">
        <v>25</v>
      </c>
      <c r="G13" t="s">
        <v>35</v>
      </c>
    </row>
    <row r="14" spans="1:7" x14ac:dyDescent="0.25">
      <c r="A14">
        <v>4972792067</v>
      </c>
      <c r="B14" t="s">
        <v>22</v>
      </c>
      <c r="C14" t="str">
        <f>"17858574541874412"</f>
        <v>17858574541874412</v>
      </c>
      <c r="D14" t="s">
        <v>33</v>
      </c>
      <c r="E14" t="s">
        <v>34</v>
      </c>
      <c r="F14" t="s">
        <v>25</v>
      </c>
      <c r="G14" t="s">
        <v>36</v>
      </c>
    </row>
    <row r="15" spans="1:7" x14ac:dyDescent="0.25">
      <c r="A15">
        <v>4972792067</v>
      </c>
      <c r="B15" t="s">
        <v>22</v>
      </c>
      <c r="C15" t="str">
        <f>"17858574541874412"</f>
        <v>17858574541874412</v>
      </c>
      <c r="D15" t="s">
        <v>33</v>
      </c>
      <c r="E15" t="s">
        <v>34</v>
      </c>
      <c r="F15" t="s">
        <v>25</v>
      </c>
      <c r="G15" t="s">
        <v>35</v>
      </c>
    </row>
    <row r="16" spans="1:7" x14ac:dyDescent="0.25">
      <c r="A16">
        <v>2981336185</v>
      </c>
      <c r="B16" t="s">
        <v>37</v>
      </c>
      <c r="C16" t="str">
        <f>"17842741732614751"</f>
        <v>17842741732614751</v>
      </c>
      <c r="D16" t="s">
        <v>38</v>
      </c>
      <c r="E16" t="s">
        <v>39</v>
      </c>
      <c r="F16" t="s">
        <v>40</v>
      </c>
      <c r="G16" t="s">
        <v>41</v>
      </c>
    </row>
    <row r="17" spans="1:7" x14ac:dyDescent="0.25">
      <c r="A17">
        <v>1245509818</v>
      </c>
      <c r="B17" t="s">
        <v>42</v>
      </c>
      <c r="C17" t="str">
        <f>"17852289136760121"</f>
        <v>17852289136760121</v>
      </c>
      <c r="D17" t="s">
        <v>43</v>
      </c>
      <c r="E17" t="s">
        <v>44</v>
      </c>
      <c r="F17" t="s">
        <v>45</v>
      </c>
      <c r="G17" t="s">
        <v>46</v>
      </c>
    </row>
    <row r="18" spans="1:7" x14ac:dyDescent="0.25">
      <c r="A18">
        <v>1245509818</v>
      </c>
      <c r="B18" t="s">
        <v>42</v>
      </c>
      <c r="C18" t="str">
        <f>"17852289136760121"</f>
        <v>17852289136760121</v>
      </c>
      <c r="D18" t="s">
        <v>43</v>
      </c>
      <c r="E18" t="s">
        <v>44</v>
      </c>
      <c r="F18" t="s">
        <v>45</v>
      </c>
      <c r="G18" t="s">
        <v>47</v>
      </c>
    </row>
    <row r="19" spans="1:7" x14ac:dyDescent="0.25">
      <c r="A19">
        <v>1245509818</v>
      </c>
      <c r="B19" t="s">
        <v>42</v>
      </c>
      <c r="C19" t="str">
        <f>"17852289136760121"</f>
        <v>17852289136760121</v>
      </c>
      <c r="D19" t="s">
        <v>43</v>
      </c>
      <c r="E19" t="s">
        <v>44</v>
      </c>
      <c r="F19" t="s">
        <v>45</v>
      </c>
      <c r="G19" t="s">
        <v>47</v>
      </c>
    </row>
    <row r="20" spans="1:7" x14ac:dyDescent="0.25">
      <c r="A20">
        <v>1245509818</v>
      </c>
      <c r="B20" t="s">
        <v>42</v>
      </c>
      <c r="C20" t="str">
        <f>"17852289136760121"</f>
        <v>17852289136760121</v>
      </c>
      <c r="D20" t="s">
        <v>43</v>
      </c>
      <c r="E20" t="s">
        <v>44</v>
      </c>
      <c r="F20" t="s">
        <v>45</v>
      </c>
      <c r="G20" t="s">
        <v>46</v>
      </c>
    </row>
    <row r="21" spans="1:7" x14ac:dyDescent="0.25">
      <c r="A21">
        <v>12672973051</v>
      </c>
      <c r="B21" t="s">
        <v>48</v>
      </c>
      <c r="C21" t="str">
        <f>"17847031018909563"</f>
        <v>17847031018909563</v>
      </c>
      <c r="D21" t="s">
        <v>49</v>
      </c>
      <c r="E21" t="s">
        <v>50</v>
      </c>
      <c r="F21" t="s">
        <v>51</v>
      </c>
      <c r="G21" t="s">
        <v>52</v>
      </c>
    </row>
    <row r="22" spans="1:7" x14ac:dyDescent="0.25">
      <c r="A22">
        <v>12672973051</v>
      </c>
      <c r="B22" t="s">
        <v>48</v>
      </c>
      <c r="C22" t="str">
        <f>"17847031018909563"</f>
        <v>17847031018909563</v>
      </c>
      <c r="D22" t="s">
        <v>49</v>
      </c>
      <c r="E22" t="s">
        <v>50</v>
      </c>
      <c r="F22" t="s">
        <v>51</v>
      </c>
      <c r="G22" t="s">
        <v>53</v>
      </c>
    </row>
    <row r="23" spans="1:7" x14ac:dyDescent="0.25">
      <c r="A23">
        <v>12672973051</v>
      </c>
      <c r="B23" t="s">
        <v>48</v>
      </c>
      <c r="C23" t="str">
        <f>"17847031018909563"</f>
        <v>17847031018909563</v>
      </c>
      <c r="D23" t="s">
        <v>49</v>
      </c>
      <c r="E23" t="s">
        <v>50</v>
      </c>
      <c r="F23" t="s">
        <v>51</v>
      </c>
      <c r="G23" t="s">
        <v>52</v>
      </c>
    </row>
    <row r="24" spans="1:7" x14ac:dyDescent="0.25">
      <c r="A24">
        <v>4266306694</v>
      </c>
      <c r="B24" t="s">
        <v>54</v>
      </c>
      <c r="C24" t="str">
        <f>"17875650766168716"</f>
        <v>17875650766168716</v>
      </c>
      <c r="D24" t="s">
        <v>55</v>
      </c>
      <c r="E24" t="s">
        <v>56</v>
      </c>
      <c r="F24" t="s">
        <v>57</v>
      </c>
      <c r="G24" t="s">
        <v>58</v>
      </c>
    </row>
    <row r="25" spans="1:7" x14ac:dyDescent="0.25">
      <c r="A25">
        <v>4266306694</v>
      </c>
      <c r="B25" t="s">
        <v>54</v>
      </c>
      <c r="C25" t="str">
        <f>"17875650766168716"</f>
        <v>17875650766168716</v>
      </c>
      <c r="D25" t="s">
        <v>55</v>
      </c>
      <c r="E25" t="s">
        <v>56</v>
      </c>
      <c r="F25" t="s">
        <v>57</v>
      </c>
      <c r="G25" t="s">
        <v>58</v>
      </c>
    </row>
    <row r="26" spans="1:7" x14ac:dyDescent="0.25">
      <c r="A26">
        <v>2278731857</v>
      </c>
      <c r="B26" t="s">
        <v>59</v>
      </c>
      <c r="C26" t="str">
        <f>"17876888188158300"</f>
        <v>17876888188158300</v>
      </c>
      <c r="D26" t="s">
        <v>60</v>
      </c>
      <c r="E26" t="s">
        <v>61</v>
      </c>
      <c r="F26" t="s">
        <v>62</v>
      </c>
      <c r="G26" t="s">
        <v>63</v>
      </c>
    </row>
    <row r="27" spans="1:7" x14ac:dyDescent="0.25">
      <c r="A27">
        <v>2278731857</v>
      </c>
      <c r="B27" t="s">
        <v>59</v>
      </c>
      <c r="C27" t="str">
        <f>"17876888188158300"</f>
        <v>17876888188158300</v>
      </c>
      <c r="D27" t="s">
        <v>60</v>
      </c>
      <c r="E27" t="s">
        <v>61</v>
      </c>
      <c r="F27" t="s">
        <v>62</v>
      </c>
      <c r="G27" t="s">
        <v>63</v>
      </c>
    </row>
    <row r="28" spans="1:7" x14ac:dyDescent="0.25">
      <c r="A28">
        <v>2010723228</v>
      </c>
      <c r="B28" t="s">
        <v>64</v>
      </c>
      <c r="C28" t="str">
        <f>"17877911029156511"</f>
        <v>17877911029156511</v>
      </c>
      <c r="D28" t="s">
        <v>65</v>
      </c>
      <c r="E28" t="s">
        <v>66</v>
      </c>
      <c r="F28" t="s">
        <v>67</v>
      </c>
      <c r="G28" t="s">
        <v>68</v>
      </c>
    </row>
    <row r="29" spans="1:7" x14ac:dyDescent="0.25">
      <c r="A29">
        <v>2010723228</v>
      </c>
      <c r="B29" t="s">
        <v>64</v>
      </c>
      <c r="C29" t="str">
        <f>"17877911029156511"</f>
        <v>17877911029156511</v>
      </c>
      <c r="D29" t="s">
        <v>65</v>
      </c>
      <c r="E29" t="s">
        <v>66</v>
      </c>
      <c r="F29" t="s">
        <v>67</v>
      </c>
      <c r="G29" t="s">
        <v>68</v>
      </c>
    </row>
    <row r="30" spans="1:7" x14ac:dyDescent="0.25">
      <c r="A30">
        <v>2010723228</v>
      </c>
      <c r="B30" t="s">
        <v>64</v>
      </c>
      <c r="C30" t="str">
        <f>"17877911029156511"</f>
        <v>17877911029156511</v>
      </c>
      <c r="D30" t="s">
        <v>65</v>
      </c>
      <c r="E30" t="s">
        <v>66</v>
      </c>
      <c r="F30" t="s">
        <v>67</v>
      </c>
      <c r="G30" t="s">
        <v>69</v>
      </c>
    </row>
    <row r="31" spans="1:7" x14ac:dyDescent="0.25">
      <c r="A31">
        <v>2010723228</v>
      </c>
      <c r="B31" t="s">
        <v>64</v>
      </c>
      <c r="C31" t="str">
        <f>"17877911029156511"</f>
        <v>17877911029156511</v>
      </c>
      <c r="D31" t="s">
        <v>65</v>
      </c>
      <c r="E31" t="s">
        <v>66</v>
      </c>
      <c r="F31" t="s">
        <v>67</v>
      </c>
      <c r="G31" t="s">
        <v>68</v>
      </c>
    </row>
    <row r="32" spans="1:7" x14ac:dyDescent="0.25">
      <c r="A32">
        <v>5360398692</v>
      </c>
      <c r="B32" t="s">
        <v>70</v>
      </c>
      <c r="C32" t="str">
        <f>"17905583755062497"</f>
        <v>17905583755062497</v>
      </c>
      <c r="D32" t="s">
        <v>71</v>
      </c>
      <c r="E32" t="s">
        <v>72</v>
      </c>
      <c r="F32" t="s">
        <v>73</v>
      </c>
      <c r="G32" t="s">
        <v>74</v>
      </c>
    </row>
    <row r="33" spans="1:7" x14ac:dyDescent="0.25">
      <c r="A33">
        <v>5360398692</v>
      </c>
      <c r="B33" t="s">
        <v>70</v>
      </c>
      <c r="C33" t="str">
        <f>"17905583755062497"</f>
        <v>17905583755062497</v>
      </c>
      <c r="D33" t="s">
        <v>71</v>
      </c>
      <c r="E33" t="s">
        <v>72</v>
      </c>
      <c r="F33" t="s">
        <v>73</v>
      </c>
      <c r="G33" t="s">
        <v>75</v>
      </c>
    </row>
    <row r="34" spans="1:7" x14ac:dyDescent="0.25">
      <c r="A34">
        <v>5360398692</v>
      </c>
      <c r="B34" t="s">
        <v>70</v>
      </c>
      <c r="C34" t="str">
        <f>"17905583755062497"</f>
        <v>17905583755062497</v>
      </c>
      <c r="D34" t="s">
        <v>71</v>
      </c>
      <c r="E34" t="s">
        <v>72</v>
      </c>
      <c r="F34" t="s">
        <v>73</v>
      </c>
      <c r="G34" t="s">
        <v>74</v>
      </c>
    </row>
    <row r="35" spans="1:7" x14ac:dyDescent="0.25">
      <c r="A35">
        <v>503661556</v>
      </c>
      <c r="B35" t="s">
        <v>76</v>
      </c>
      <c r="C35" t="str">
        <f>"17876607766173433"</f>
        <v>17876607766173433</v>
      </c>
      <c r="D35" t="s">
        <v>77</v>
      </c>
      <c r="E35" t="s">
        <v>78</v>
      </c>
      <c r="F35" t="s">
        <v>79</v>
      </c>
      <c r="G35" t="s">
        <v>80</v>
      </c>
    </row>
    <row r="36" spans="1:7" x14ac:dyDescent="0.25">
      <c r="A36">
        <v>4935676875</v>
      </c>
      <c r="B36" t="s">
        <v>81</v>
      </c>
      <c r="C36" t="str">
        <f>"17876781241173096"</f>
        <v>17876781241173096</v>
      </c>
      <c r="D36" t="s">
        <v>82</v>
      </c>
      <c r="E36" t="s">
        <v>83</v>
      </c>
      <c r="F36" t="s">
        <v>84</v>
      </c>
      <c r="G36" t="s">
        <v>85</v>
      </c>
    </row>
    <row r="37" spans="1:7" x14ac:dyDescent="0.25">
      <c r="A37">
        <v>503661556</v>
      </c>
      <c r="B37" t="s">
        <v>76</v>
      </c>
      <c r="C37" t="str">
        <f>"17876607766173433"</f>
        <v>17876607766173433</v>
      </c>
      <c r="D37" t="s">
        <v>77</v>
      </c>
      <c r="E37" t="s">
        <v>78</v>
      </c>
      <c r="F37" t="s">
        <v>79</v>
      </c>
      <c r="G37" t="s">
        <v>80</v>
      </c>
    </row>
    <row r="38" spans="1:7" x14ac:dyDescent="0.25">
      <c r="A38">
        <v>4935676875</v>
      </c>
      <c r="B38" t="s">
        <v>81</v>
      </c>
      <c r="C38" t="str">
        <f>"17876781241173096"</f>
        <v>17876781241173096</v>
      </c>
      <c r="D38" t="s">
        <v>82</v>
      </c>
      <c r="E38" t="s">
        <v>83</v>
      </c>
      <c r="F38" t="s">
        <v>84</v>
      </c>
      <c r="G38" t="s">
        <v>85</v>
      </c>
    </row>
    <row r="39" spans="1:7" x14ac:dyDescent="0.25">
      <c r="A39">
        <v>6225802</v>
      </c>
      <c r="B39" t="s">
        <v>86</v>
      </c>
      <c r="C39" t="str">
        <f>"17866343509196598"</f>
        <v>17866343509196598</v>
      </c>
      <c r="D39" t="s">
        <v>87</v>
      </c>
      <c r="E39" t="s">
        <v>88</v>
      </c>
      <c r="F39" t="s">
        <v>89</v>
      </c>
      <c r="G39" t="s">
        <v>90</v>
      </c>
    </row>
    <row r="40" spans="1:7" x14ac:dyDescent="0.25">
      <c r="A40">
        <v>6225802</v>
      </c>
      <c r="B40" t="s">
        <v>86</v>
      </c>
      <c r="C40" t="str">
        <f>"17866343509196598"</f>
        <v>17866343509196598</v>
      </c>
      <c r="D40" t="s">
        <v>87</v>
      </c>
      <c r="E40" t="s">
        <v>88</v>
      </c>
      <c r="F40" t="s">
        <v>89</v>
      </c>
      <c r="G40" t="s">
        <v>90</v>
      </c>
    </row>
    <row r="41" spans="1:7" x14ac:dyDescent="0.25">
      <c r="A41">
        <v>1333373671</v>
      </c>
      <c r="B41" t="s">
        <v>91</v>
      </c>
      <c r="C41" t="str">
        <f>"17889945061083860"</f>
        <v>17889945061083860</v>
      </c>
      <c r="D41" t="s">
        <v>92</v>
      </c>
      <c r="E41" t="s">
        <v>93</v>
      </c>
      <c r="F41" t="s">
        <v>94</v>
      </c>
      <c r="G41" t="s">
        <v>95</v>
      </c>
    </row>
    <row r="42" spans="1:7" x14ac:dyDescent="0.25">
      <c r="A42">
        <v>1333373671</v>
      </c>
      <c r="B42" t="s">
        <v>91</v>
      </c>
      <c r="C42" t="str">
        <f>"17889945061083860"</f>
        <v>17889945061083860</v>
      </c>
      <c r="D42" t="s">
        <v>92</v>
      </c>
      <c r="E42" t="s">
        <v>93</v>
      </c>
      <c r="F42" t="s">
        <v>94</v>
      </c>
      <c r="G42" t="s">
        <v>95</v>
      </c>
    </row>
    <row r="43" spans="1:7" x14ac:dyDescent="0.25">
      <c r="A43">
        <v>553613732</v>
      </c>
      <c r="B43" t="s">
        <v>96</v>
      </c>
      <c r="C43" t="str">
        <f>"17911663849062483"</f>
        <v>17911663849062483</v>
      </c>
      <c r="D43" t="s">
        <v>97</v>
      </c>
      <c r="E43" t="s">
        <v>98</v>
      </c>
      <c r="F43" t="s">
        <v>99</v>
      </c>
      <c r="G43" t="s">
        <v>100</v>
      </c>
    </row>
    <row r="44" spans="1:7" x14ac:dyDescent="0.25">
      <c r="A44">
        <v>5386608696</v>
      </c>
      <c r="B44" t="s">
        <v>101</v>
      </c>
      <c r="C44" t="str">
        <f>"17903662021065822"</f>
        <v>17903662021065822</v>
      </c>
      <c r="D44" t="s">
        <v>97</v>
      </c>
      <c r="E44" t="s">
        <v>102</v>
      </c>
      <c r="F44" t="s">
        <v>103</v>
      </c>
      <c r="G44" t="s">
        <v>104</v>
      </c>
    </row>
    <row r="45" spans="1:7" x14ac:dyDescent="0.25">
      <c r="A45">
        <v>553613732</v>
      </c>
      <c r="B45" t="s">
        <v>96</v>
      </c>
      <c r="C45" t="str">
        <f>"17911663849062483"</f>
        <v>17911663849062483</v>
      </c>
      <c r="D45" t="s">
        <v>97</v>
      </c>
      <c r="E45" t="s">
        <v>98</v>
      </c>
      <c r="F45" t="s">
        <v>99</v>
      </c>
      <c r="G45" t="s">
        <v>100</v>
      </c>
    </row>
    <row r="46" spans="1:7" x14ac:dyDescent="0.25">
      <c r="A46">
        <v>5386608696</v>
      </c>
      <c r="B46" t="s">
        <v>101</v>
      </c>
      <c r="C46" t="str">
        <f>"17903662021065822"</f>
        <v>17903662021065822</v>
      </c>
      <c r="D46" t="s">
        <v>97</v>
      </c>
      <c r="E46" t="s">
        <v>102</v>
      </c>
      <c r="F46" t="s">
        <v>103</v>
      </c>
      <c r="G46" t="s">
        <v>104</v>
      </c>
    </row>
    <row r="47" spans="1:7" x14ac:dyDescent="0.25">
      <c r="A47">
        <v>6116723025</v>
      </c>
      <c r="B47" t="s">
        <v>105</v>
      </c>
      <c r="C47" t="str">
        <f>"17889033940192540"</f>
        <v>17889033940192540</v>
      </c>
      <c r="D47" t="s">
        <v>106</v>
      </c>
      <c r="E47" t="s">
        <v>107</v>
      </c>
      <c r="F47" t="s">
        <v>108</v>
      </c>
      <c r="G47" t="s">
        <v>109</v>
      </c>
    </row>
    <row r="48" spans="1:7" x14ac:dyDescent="0.25">
      <c r="A48">
        <v>684151299</v>
      </c>
      <c r="B48" t="s">
        <v>110</v>
      </c>
      <c r="C48" t="str">
        <f>"17905967785073230"</f>
        <v>17905967785073230</v>
      </c>
      <c r="D48" t="s">
        <v>111</v>
      </c>
      <c r="E48" t="s">
        <v>112</v>
      </c>
      <c r="F48" t="s">
        <v>113</v>
      </c>
      <c r="G48" t="s">
        <v>114</v>
      </c>
    </row>
    <row r="49" spans="1:7" x14ac:dyDescent="0.25">
      <c r="A49">
        <v>6116723025</v>
      </c>
      <c r="B49" t="s">
        <v>105</v>
      </c>
      <c r="C49" t="str">
        <f>"17889033940192540"</f>
        <v>17889033940192540</v>
      </c>
      <c r="D49" t="s">
        <v>106</v>
      </c>
      <c r="E49" t="s">
        <v>107</v>
      </c>
      <c r="F49" t="s">
        <v>108</v>
      </c>
      <c r="G49" t="s">
        <v>109</v>
      </c>
    </row>
    <row r="50" spans="1:7" x14ac:dyDescent="0.25">
      <c r="A50">
        <v>684151299</v>
      </c>
      <c r="B50" t="s">
        <v>110</v>
      </c>
      <c r="C50" t="str">
        <f>"17905967785073230"</f>
        <v>17905967785073230</v>
      </c>
      <c r="D50" t="s">
        <v>111</v>
      </c>
      <c r="E50" t="s">
        <v>112</v>
      </c>
      <c r="F50" t="s">
        <v>113</v>
      </c>
      <c r="G50" t="s">
        <v>114</v>
      </c>
    </row>
    <row r="51" spans="1:7" x14ac:dyDescent="0.25">
      <c r="A51">
        <v>6116723025</v>
      </c>
      <c r="B51" t="s">
        <v>105</v>
      </c>
      <c r="C51" t="str">
        <f>"17889033940192540"</f>
        <v>17889033940192540</v>
      </c>
      <c r="D51" t="s">
        <v>106</v>
      </c>
      <c r="E51" t="s">
        <v>107</v>
      </c>
      <c r="F51" t="s">
        <v>108</v>
      </c>
      <c r="G51" t="s">
        <v>109</v>
      </c>
    </row>
    <row r="52" spans="1:7" x14ac:dyDescent="0.25">
      <c r="A52">
        <v>684151299</v>
      </c>
      <c r="B52" t="s">
        <v>110</v>
      </c>
      <c r="C52" t="str">
        <f>"17905967785073230"</f>
        <v>17905967785073230</v>
      </c>
      <c r="D52" t="s">
        <v>111</v>
      </c>
      <c r="E52" t="s">
        <v>112</v>
      </c>
      <c r="F52" t="s">
        <v>113</v>
      </c>
      <c r="G52" t="s">
        <v>114</v>
      </c>
    </row>
    <row r="53" spans="1:7" x14ac:dyDescent="0.25">
      <c r="A53">
        <v>202492449</v>
      </c>
      <c r="B53" t="s">
        <v>115</v>
      </c>
      <c r="C53" t="str">
        <f>"17913379507052566"</f>
        <v>17913379507052566</v>
      </c>
      <c r="D53" t="s">
        <v>116</v>
      </c>
      <c r="E53" t="s">
        <v>117</v>
      </c>
      <c r="F53" t="s">
        <v>118</v>
      </c>
      <c r="G53" t="s">
        <v>119</v>
      </c>
    </row>
    <row r="54" spans="1:7" x14ac:dyDescent="0.25">
      <c r="A54">
        <v>202492449</v>
      </c>
      <c r="B54" t="s">
        <v>115</v>
      </c>
      <c r="C54" t="str">
        <f>"17913379507052566"</f>
        <v>17913379507052566</v>
      </c>
      <c r="D54" t="s">
        <v>116</v>
      </c>
      <c r="E54" t="s">
        <v>117</v>
      </c>
      <c r="F54" t="s">
        <v>118</v>
      </c>
      <c r="G54" t="s">
        <v>119</v>
      </c>
    </row>
    <row r="55" spans="1:7" x14ac:dyDescent="0.25">
      <c r="A55">
        <v>202492449</v>
      </c>
      <c r="B55" t="s">
        <v>115</v>
      </c>
      <c r="C55" t="str">
        <f>"17913379507052566"</f>
        <v>17913379507052566</v>
      </c>
      <c r="D55" t="s">
        <v>116</v>
      </c>
      <c r="E55" t="s">
        <v>117</v>
      </c>
      <c r="F55" t="s">
        <v>118</v>
      </c>
      <c r="G55" t="s">
        <v>120</v>
      </c>
    </row>
    <row r="56" spans="1:7" x14ac:dyDescent="0.25">
      <c r="A56">
        <v>202492449</v>
      </c>
      <c r="B56" t="s">
        <v>115</v>
      </c>
      <c r="C56" t="str">
        <f>"17913379507052566"</f>
        <v>17913379507052566</v>
      </c>
      <c r="D56" t="s">
        <v>116</v>
      </c>
      <c r="E56" t="s">
        <v>117</v>
      </c>
      <c r="F56" t="s">
        <v>118</v>
      </c>
      <c r="G56" t="s">
        <v>120</v>
      </c>
    </row>
    <row r="57" spans="1:7" x14ac:dyDescent="0.25">
      <c r="A57">
        <v>202492449</v>
      </c>
      <c r="B57" t="s">
        <v>115</v>
      </c>
      <c r="C57" t="str">
        <f>"17913379507052566"</f>
        <v>17913379507052566</v>
      </c>
      <c r="D57" t="s">
        <v>116</v>
      </c>
      <c r="E57" t="s">
        <v>117</v>
      </c>
      <c r="F57" t="s">
        <v>118</v>
      </c>
      <c r="G57" t="s">
        <v>119</v>
      </c>
    </row>
    <row r="58" spans="1:7" x14ac:dyDescent="0.25">
      <c r="A58">
        <v>5569368691</v>
      </c>
      <c r="B58" t="s">
        <v>121</v>
      </c>
      <c r="C58" t="str">
        <f>"17914457392029614"</f>
        <v>17914457392029614</v>
      </c>
      <c r="D58" t="s">
        <v>122</v>
      </c>
      <c r="E58" t="s">
        <v>123</v>
      </c>
      <c r="F58" t="s">
        <v>124</v>
      </c>
      <c r="G58" t="s">
        <v>125</v>
      </c>
    </row>
    <row r="59" spans="1:7" x14ac:dyDescent="0.25">
      <c r="A59">
        <v>5569368691</v>
      </c>
      <c r="B59" t="s">
        <v>121</v>
      </c>
      <c r="C59" t="str">
        <f>"17914457392029614"</f>
        <v>17914457392029614</v>
      </c>
      <c r="D59" t="s">
        <v>122</v>
      </c>
      <c r="E59" t="s">
        <v>123</v>
      </c>
      <c r="F59" t="s">
        <v>124</v>
      </c>
      <c r="G59" t="s">
        <v>125</v>
      </c>
    </row>
    <row r="60" spans="1:7" x14ac:dyDescent="0.25">
      <c r="A60">
        <v>2129760481</v>
      </c>
      <c r="B60" t="s">
        <v>126</v>
      </c>
      <c r="C60" t="str">
        <f>"17904463882079504"</f>
        <v>17904463882079504</v>
      </c>
      <c r="D60" t="s">
        <v>127</v>
      </c>
      <c r="E60" t="s">
        <v>128</v>
      </c>
      <c r="F60" t="s">
        <v>129</v>
      </c>
      <c r="G60" t="s">
        <v>130</v>
      </c>
    </row>
    <row r="61" spans="1:7" x14ac:dyDescent="0.25">
      <c r="A61">
        <v>2129760481</v>
      </c>
      <c r="B61" t="s">
        <v>126</v>
      </c>
      <c r="C61" t="str">
        <f>"17904463882079504"</f>
        <v>17904463882079504</v>
      </c>
      <c r="D61" t="s">
        <v>127</v>
      </c>
      <c r="E61" t="s">
        <v>128</v>
      </c>
      <c r="F61" t="s">
        <v>129</v>
      </c>
      <c r="G61" t="s">
        <v>130</v>
      </c>
    </row>
    <row r="62" spans="1:7" x14ac:dyDescent="0.25">
      <c r="A62">
        <v>2129760481</v>
      </c>
      <c r="B62" t="s">
        <v>126</v>
      </c>
      <c r="C62" t="str">
        <f>"17904463882079504"</f>
        <v>17904463882079504</v>
      </c>
      <c r="D62" t="s">
        <v>127</v>
      </c>
      <c r="E62" t="s">
        <v>128</v>
      </c>
      <c r="F62" t="s">
        <v>129</v>
      </c>
      <c r="G62" t="s">
        <v>130</v>
      </c>
    </row>
    <row r="63" spans="1:7" x14ac:dyDescent="0.25">
      <c r="A63">
        <v>2095647390</v>
      </c>
      <c r="B63" t="s">
        <v>131</v>
      </c>
      <c r="C63" t="str">
        <f>"17934799621078124"</f>
        <v>17934799621078124</v>
      </c>
      <c r="D63" t="s">
        <v>132</v>
      </c>
      <c r="E63" t="s">
        <v>133</v>
      </c>
      <c r="F63" t="s">
        <v>134</v>
      </c>
      <c r="G63" t="s">
        <v>135</v>
      </c>
    </row>
    <row r="64" spans="1:7" x14ac:dyDescent="0.25">
      <c r="A64">
        <v>2095647390</v>
      </c>
      <c r="B64" t="s">
        <v>131</v>
      </c>
      <c r="C64" t="str">
        <f>"17934799621078124"</f>
        <v>17934799621078124</v>
      </c>
      <c r="D64" t="s">
        <v>132</v>
      </c>
      <c r="E64" t="s">
        <v>133</v>
      </c>
      <c r="F64" t="s">
        <v>134</v>
      </c>
      <c r="G64" t="s">
        <v>135</v>
      </c>
    </row>
    <row r="65" spans="1:7" x14ac:dyDescent="0.25">
      <c r="A65">
        <v>413357631</v>
      </c>
      <c r="B65" t="s">
        <v>136</v>
      </c>
      <c r="C65" t="str">
        <f>"17889498175183933"</f>
        <v>17889498175183933</v>
      </c>
      <c r="D65" t="s">
        <v>137</v>
      </c>
      <c r="E65" t="s">
        <v>138</v>
      </c>
      <c r="F65" t="s">
        <v>139</v>
      </c>
      <c r="G65" t="s">
        <v>140</v>
      </c>
    </row>
    <row r="66" spans="1:7" x14ac:dyDescent="0.25">
      <c r="A66">
        <v>413357631</v>
      </c>
      <c r="B66" t="s">
        <v>136</v>
      </c>
      <c r="C66" t="str">
        <f>"17889498175183933"</f>
        <v>17889498175183933</v>
      </c>
      <c r="D66" t="s">
        <v>137</v>
      </c>
      <c r="E66" t="s">
        <v>138</v>
      </c>
      <c r="F66" t="s">
        <v>139</v>
      </c>
      <c r="G66" t="s">
        <v>140</v>
      </c>
    </row>
    <row r="67" spans="1:7" x14ac:dyDescent="0.25">
      <c r="A67">
        <v>413357631</v>
      </c>
      <c r="B67" t="s">
        <v>136</v>
      </c>
      <c r="C67" t="str">
        <f>"17889689782176485"</f>
        <v>17889689782176485</v>
      </c>
      <c r="D67" t="s">
        <v>141</v>
      </c>
      <c r="E67" t="s">
        <v>142</v>
      </c>
      <c r="F67" t="s">
        <v>139</v>
      </c>
      <c r="G67" t="s">
        <v>143</v>
      </c>
    </row>
    <row r="68" spans="1:7" x14ac:dyDescent="0.25">
      <c r="A68">
        <v>4165429890</v>
      </c>
      <c r="B68" t="s">
        <v>144</v>
      </c>
      <c r="C68" t="str">
        <f>"17907497929198278"</f>
        <v>17907497929198278</v>
      </c>
      <c r="D68" t="s">
        <v>145</v>
      </c>
      <c r="E68" t="s">
        <v>146</v>
      </c>
      <c r="F68" t="s">
        <v>147</v>
      </c>
      <c r="G68" t="s">
        <v>148</v>
      </c>
    </row>
    <row r="69" spans="1:7" x14ac:dyDescent="0.25">
      <c r="A69">
        <v>413357631</v>
      </c>
      <c r="B69" t="s">
        <v>136</v>
      </c>
      <c r="C69" t="str">
        <f>"17889689782176485"</f>
        <v>17889689782176485</v>
      </c>
      <c r="D69" t="s">
        <v>141</v>
      </c>
      <c r="E69" t="s">
        <v>142</v>
      </c>
      <c r="F69" t="s">
        <v>139</v>
      </c>
      <c r="G69" t="s">
        <v>149</v>
      </c>
    </row>
    <row r="70" spans="1:7" x14ac:dyDescent="0.25">
      <c r="A70">
        <v>4165429890</v>
      </c>
      <c r="B70" t="s">
        <v>144</v>
      </c>
      <c r="C70" t="str">
        <f>"17907497929198278"</f>
        <v>17907497929198278</v>
      </c>
      <c r="D70" t="s">
        <v>145</v>
      </c>
      <c r="E70" t="s">
        <v>146</v>
      </c>
      <c r="F70" t="s">
        <v>147</v>
      </c>
      <c r="G70" t="s">
        <v>150</v>
      </c>
    </row>
    <row r="71" spans="1:7" x14ac:dyDescent="0.25">
      <c r="A71">
        <v>413357631</v>
      </c>
      <c r="B71" t="s">
        <v>136</v>
      </c>
      <c r="C71" t="str">
        <f>"17889689782176485"</f>
        <v>17889689782176485</v>
      </c>
      <c r="D71" t="s">
        <v>141</v>
      </c>
      <c r="E71" t="s">
        <v>142</v>
      </c>
      <c r="F71" t="s">
        <v>139</v>
      </c>
      <c r="G71" t="s">
        <v>143</v>
      </c>
    </row>
    <row r="72" spans="1:7" x14ac:dyDescent="0.25">
      <c r="A72">
        <v>4165429890</v>
      </c>
      <c r="B72" t="s">
        <v>144</v>
      </c>
      <c r="C72" t="str">
        <f>"17907497929198278"</f>
        <v>17907497929198278</v>
      </c>
      <c r="D72" t="s">
        <v>145</v>
      </c>
      <c r="E72" t="s">
        <v>146</v>
      </c>
      <c r="F72" t="s">
        <v>147</v>
      </c>
      <c r="G72" t="s">
        <v>148</v>
      </c>
    </row>
    <row r="73" spans="1:7" x14ac:dyDescent="0.25">
      <c r="A73">
        <v>48938117</v>
      </c>
      <c r="B73" t="s">
        <v>151</v>
      </c>
      <c r="C73" t="str">
        <f>"17916566680017608"</f>
        <v>17916566680017608</v>
      </c>
      <c r="D73" t="s">
        <v>152</v>
      </c>
      <c r="E73" t="s">
        <v>153</v>
      </c>
      <c r="F73" t="s">
        <v>154</v>
      </c>
      <c r="G73" t="s">
        <v>155</v>
      </c>
    </row>
    <row r="74" spans="1:7" x14ac:dyDescent="0.25">
      <c r="A74">
        <v>48938117</v>
      </c>
      <c r="B74" t="s">
        <v>151</v>
      </c>
      <c r="C74" t="str">
        <f>"17916566680017608"</f>
        <v>17916566680017608</v>
      </c>
      <c r="D74" t="s">
        <v>152</v>
      </c>
      <c r="E74" t="s">
        <v>153</v>
      </c>
      <c r="F74" t="s">
        <v>154</v>
      </c>
      <c r="G74" t="s">
        <v>155</v>
      </c>
    </row>
    <row r="75" spans="1:7" x14ac:dyDescent="0.25">
      <c r="A75">
        <v>48938117</v>
      </c>
      <c r="B75" t="s">
        <v>151</v>
      </c>
      <c r="C75" t="str">
        <f>"17916566680017608"</f>
        <v>17916566680017608</v>
      </c>
      <c r="D75" t="s">
        <v>152</v>
      </c>
      <c r="E75" t="s">
        <v>153</v>
      </c>
      <c r="F75" t="s">
        <v>154</v>
      </c>
      <c r="G75" t="s">
        <v>156</v>
      </c>
    </row>
    <row r="76" spans="1:7" x14ac:dyDescent="0.25">
      <c r="A76">
        <v>48938117</v>
      </c>
      <c r="B76" t="s">
        <v>151</v>
      </c>
      <c r="C76" t="str">
        <f>"17916566680017608"</f>
        <v>17916566680017608</v>
      </c>
      <c r="D76" t="s">
        <v>152</v>
      </c>
      <c r="E76" t="s">
        <v>153</v>
      </c>
      <c r="F76" t="s">
        <v>154</v>
      </c>
      <c r="G76" t="s">
        <v>155</v>
      </c>
    </row>
    <row r="77" spans="1:7" x14ac:dyDescent="0.25">
      <c r="A77">
        <v>6387652604</v>
      </c>
      <c r="B77" t="s">
        <v>157</v>
      </c>
      <c r="C77" t="str">
        <f>"17917623475040004"</f>
        <v>17917623475040004</v>
      </c>
      <c r="D77" t="s">
        <v>158</v>
      </c>
      <c r="E77" t="s">
        <v>159</v>
      </c>
      <c r="F77" t="s">
        <v>160</v>
      </c>
      <c r="G77" t="s">
        <v>161</v>
      </c>
    </row>
    <row r="78" spans="1:7" x14ac:dyDescent="0.25">
      <c r="A78">
        <v>5819253634</v>
      </c>
      <c r="B78" t="s">
        <v>162</v>
      </c>
      <c r="C78" t="str">
        <f>"18000407512018463"</f>
        <v>18000407512018463</v>
      </c>
      <c r="D78" t="s">
        <v>163</v>
      </c>
      <c r="E78" t="s">
        <v>164</v>
      </c>
      <c r="F78" t="s">
        <v>165</v>
      </c>
      <c r="G78" t="s">
        <v>166</v>
      </c>
    </row>
    <row r="79" spans="1:7" x14ac:dyDescent="0.25">
      <c r="A79">
        <v>6387652604</v>
      </c>
      <c r="B79" t="s">
        <v>157</v>
      </c>
      <c r="C79" t="str">
        <f>"17917623475040004"</f>
        <v>17917623475040004</v>
      </c>
      <c r="D79" t="s">
        <v>158</v>
      </c>
      <c r="E79" t="s">
        <v>159</v>
      </c>
      <c r="F79" t="s">
        <v>160</v>
      </c>
      <c r="G79" t="s">
        <v>161</v>
      </c>
    </row>
    <row r="80" spans="1:7" x14ac:dyDescent="0.25">
      <c r="A80">
        <v>5819253634</v>
      </c>
      <c r="B80" t="s">
        <v>162</v>
      </c>
      <c r="C80" t="str">
        <f>"18000407512018463"</f>
        <v>18000407512018463</v>
      </c>
      <c r="D80" t="s">
        <v>163</v>
      </c>
      <c r="E80" t="s">
        <v>164</v>
      </c>
      <c r="F80" t="s">
        <v>165</v>
      </c>
      <c r="G80" t="s">
        <v>166</v>
      </c>
    </row>
    <row r="81" spans="1:7" x14ac:dyDescent="0.25">
      <c r="A81">
        <v>12732882</v>
      </c>
      <c r="B81" t="s">
        <v>167</v>
      </c>
      <c r="C81" t="str">
        <f>"17916808978029314"</f>
        <v>17916808978029314</v>
      </c>
      <c r="D81" t="s">
        <v>168</v>
      </c>
      <c r="E81" t="s">
        <v>169</v>
      </c>
      <c r="F81" t="s">
        <v>170</v>
      </c>
      <c r="G81" t="s">
        <v>171</v>
      </c>
    </row>
    <row r="82" spans="1:7" x14ac:dyDescent="0.25">
      <c r="A82">
        <v>12732882</v>
      </c>
      <c r="B82" t="s">
        <v>167</v>
      </c>
      <c r="C82" t="str">
        <f>"17916808978029314"</f>
        <v>17916808978029314</v>
      </c>
      <c r="D82" t="s">
        <v>168</v>
      </c>
      <c r="E82" t="s">
        <v>169</v>
      </c>
      <c r="F82" t="s">
        <v>170</v>
      </c>
      <c r="G82" t="s">
        <v>172</v>
      </c>
    </row>
    <row r="83" spans="1:7" x14ac:dyDescent="0.25">
      <c r="A83">
        <v>12732882</v>
      </c>
      <c r="B83" t="s">
        <v>167</v>
      </c>
      <c r="C83" t="str">
        <f>"17916808978029314"</f>
        <v>17916808978029314</v>
      </c>
      <c r="D83" t="s">
        <v>168</v>
      </c>
      <c r="E83" t="s">
        <v>169</v>
      </c>
      <c r="F83" t="s">
        <v>170</v>
      </c>
      <c r="G83" t="s">
        <v>171</v>
      </c>
    </row>
    <row r="84" spans="1:7" x14ac:dyDescent="0.25">
      <c r="A84">
        <v>4867556239</v>
      </c>
      <c r="B84" t="s">
        <v>173</v>
      </c>
      <c r="C84" t="str">
        <f>"17892352489135084"</f>
        <v>17892352489135084</v>
      </c>
      <c r="D84" t="s">
        <v>174</v>
      </c>
      <c r="E84" t="s">
        <v>175</v>
      </c>
      <c r="F84" t="s">
        <v>176</v>
      </c>
      <c r="G84" t="s">
        <v>177</v>
      </c>
    </row>
    <row r="85" spans="1:7" x14ac:dyDescent="0.25">
      <c r="A85">
        <v>4867556239</v>
      </c>
      <c r="B85" t="s">
        <v>173</v>
      </c>
      <c r="C85" t="str">
        <f>"17892352489135084"</f>
        <v>17892352489135084</v>
      </c>
      <c r="D85" t="s">
        <v>174</v>
      </c>
      <c r="E85" t="s">
        <v>175</v>
      </c>
      <c r="F85" t="s">
        <v>176</v>
      </c>
      <c r="G85" t="s">
        <v>177</v>
      </c>
    </row>
    <row r="86" spans="1:7" x14ac:dyDescent="0.25">
      <c r="A86">
        <v>5360398692</v>
      </c>
      <c r="B86" t="s">
        <v>70</v>
      </c>
      <c r="C86" t="str">
        <f>"17890822234176454"</f>
        <v>17890822234176454</v>
      </c>
      <c r="D86" t="s">
        <v>71</v>
      </c>
      <c r="E86" t="s">
        <v>178</v>
      </c>
      <c r="F86" t="s">
        <v>73</v>
      </c>
      <c r="G86" t="s">
        <v>179</v>
      </c>
    </row>
    <row r="87" spans="1:7" x14ac:dyDescent="0.25">
      <c r="A87">
        <v>5360398692</v>
      </c>
      <c r="B87" t="s">
        <v>70</v>
      </c>
      <c r="C87" t="str">
        <f>"17890822234176454"</f>
        <v>17890822234176454</v>
      </c>
      <c r="D87" t="s">
        <v>71</v>
      </c>
      <c r="E87" t="s">
        <v>178</v>
      </c>
      <c r="F87" t="s">
        <v>73</v>
      </c>
      <c r="G87" t="s">
        <v>179</v>
      </c>
    </row>
    <row r="88" spans="1:7" x14ac:dyDescent="0.25">
      <c r="A88">
        <v>5360398692</v>
      </c>
      <c r="B88" t="s">
        <v>70</v>
      </c>
      <c r="C88" t="str">
        <f>"17890822234176454"</f>
        <v>17890822234176454</v>
      </c>
      <c r="D88" t="s">
        <v>71</v>
      </c>
      <c r="E88" t="s">
        <v>178</v>
      </c>
      <c r="F88" t="s">
        <v>73</v>
      </c>
      <c r="G88" t="s">
        <v>179</v>
      </c>
    </row>
    <row r="89" spans="1:7" x14ac:dyDescent="0.25">
      <c r="A89">
        <v>4352749633</v>
      </c>
      <c r="B89" t="s">
        <v>180</v>
      </c>
      <c r="C89" t="str">
        <f>"17921533654059323"</f>
        <v>17921533654059323</v>
      </c>
      <c r="D89" t="s">
        <v>181</v>
      </c>
      <c r="E89" t="s">
        <v>182</v>
      </c>
      <c r="F89" t="s">
        <v>183</v>
      </c>
      <c r="G89" t="s">
        <v>184</v>
      </c>
    </row>
    <row r="90" spans="1:7" x14ac:dyDescent="0.25">
      <c r="A90">
        <v>4352749633</v>
      </c>
      <c r="B90" t="s">
        <v>180</v>
      </c>
      <c r="C90" t="str">
        <f>"17921533654059323"</f>
        <v>17921533654059323</v>
      </c>
      <c r="D90" t="s">
        <v>181</v>
      </c>
      <c r="E90" t="s">
        <v>182</v>
      </c>
      <c r="F90" t="s">
        <v>183</v>
      </c>
      <c r="G90" t="s">
        <v>184</v>
      </c>
    </row>
    <row r="91" spans="1:7" x14ac:dyDescent="0.25">
      <c r="A91">
        <v>174217330</v>
      </c>
      <c r="B91" t="s">
        <v>185</v>
      </c>
      <c r="C91" t="str">
        <f>"17903516095123350"</f>
        <v>17903516095123350</v>
      </c>
      <c r="D91" t="s">
        <v>186</v>
      </c>
      <c r="E91" t="s">
        <v>187</v>
      </c>
      <c r="F91" t="s">
        <v>188</v>
      </c>
      <c r="G91" t="s">
        <v>189</v>
      </c>
    </row>
    <row r="92" spans="1:7" x14ac:dyDescent="0.25">
      <c r="A92">
        <v>174217330</v>
      </c>
      <c r="B92" t="s">
        <v>185</v>
      </c>
      <c r="C92" t="str">
        <f>"17903516095123350"</f>
        <v>17903516095123350</v>
      </c>
      <c r="D92" t="s">
        <v>186</v>
      </c>
      <c r="E92" t="s">
        <v>187</v>
      </c>
      <c r="F92" t="s">
        <v>188</v>
      </c>
      <c r="G92" t="s">
        <v>189</v>
      </c>
    </row>
    <row r="93" spans="1:7" x14ac:dyDescent="0.25">
      <c r="A93">
        <v>248572231</v>
      </c>
      <c r="B93" t="s">
        <v>190</v>
      </c>
      <c r="C93" t="str">
        <f>"17890590862156050"</f>
        <v>17890590862156050</v>
      </c>
      <c r="D93" t="s">
        <v>191</v>
      </c>
      <c r="E93" t="s">
        <v>192</v>
      </c>
      <c r="F93" t="s">
        <v>193</v>
      </c>
      <c r="G93" t="s">
        <v>194</v>
      </c>
    </row>
    <row r="94" spans="1:7" x14ac:dyDescent="0.25">
      <c r="A94">
        <v>55020101</v>
      </c>
      <c r="B94" t="s">
        <v>195</v>
      </c>
      <c r="C94" t="str">
        <f>"17877614086199050"</f>
        <v>17877614086199050</v>
      </c>
      <c r="D94" t="s">
        <v>196</v>
      </c>
      <c r="E94" t="s">
        <v>197</v>
      </c>
      <c r="F94" t="s">
        <v>198</v>
      </c>
      <c r="G94" t="s">
        <v>199</v>
      </c>
    </row>
    <row r="95" spans="1:7" x14ac:dyDescent="0.25">
      <c r="A95">
        <v>248572231</v>
      </c>
      <c r="B95" t="s">
        <v>190</v>
      </c>
      <c r="C95" t="str">
        <f>"17890590862156050"</f>
        <v>17890590862156050</v>
      </c>
      <c r="D95" t="s">
        <v>191</v>
      </c>
      <c r="E95" t="s">
        <v>192</v>
      </c>
      <c r="F95" t="s">
        <v>193</v>
      </c>
      <c r="G95" t="s">
        <v>194</v>
      </c>
    </row>
    <row r="96" spans="1:7" x14ac:dyDescent="0.25">
      <c r="A96">
        <v>55020101</v>
      </c>
      <c r="B96" t="s">
        <v>195</v>
      </c>
      <c r="C96" t="str">
        <f>"17877614086199050"</f>
        <v>17877614086199050</v>
      </c>
      <c r="D96" t="s">
        <v>196</v>
      </c>
      <c r="E96" t="s">
        <v>197</v>
      </c>
      <c r="F96" t="s">
        <v>198</v>
      </c>
      <c r="G96" t="s">
        <v>199</v>
      </c>
    </row>
    <row r="97" spans="1:7" x14ac:dyDescent="0.25">
      <c r="A97">
        <v>248572231</v>
      </c>
      <c r="B97" t="s">
        <v>190</v>
      </c>
      <c r="C97" t="str">
        <f>"17890590862156050"</f>
        <v>17890590862156050</v>
      </c>
      <c r="D97" t="s">
        <v>191</v>
      </c>
      <c r="E97" t="s">
        <v>192</v>
      </c>
      <c r="F97" t="s">
        <v>193</v>
      </c>
      <c r="G97" t="s">
        <v>194</v>
      </c>
    </row>
    <row r="98" spans="1:7" x14ac:dyDescent="0.25">
      <c r="A98">
        <v>55020101</v>
      </c>
      <c r="B98" t="s">
        <v>195</v>
      </c>
      <c r="C98" t="str">
        <f>"17877614086199050"</f>
        <v>17877614086199050</v>
      </c>
      <c r="D98" t="s">
        <v>196</v>
      </c>
      <c r="E98" t="s">
        <v>197</v>
      </c>
      <c r="F98" t="s">
        <v>198</v>
      </c>
      <c r="G98" t="s">
        <v>199</v>
      </c>
    </row>
    <row r="99" spans="1:7" x14ac:dyDescent="0.25">
      <c r="A99">
        <v>12405357555</v>
      </c>
      <c r="B99" t="s">
        <v>200</v>
      </c>
      <c r="C99" t="str">
        <f>"17869441888360073"</f>
        <v>17869441888360073</v>
      </c>
      <c r="D99" t="s">
        <v>201</v>
      </c>
      <c r="E99" t="s">
        <v>202</v>
      </c>
      <c r="F99" t="s">
        <v>203</v>
      </c>
      <c r="G99" t="s">
        <v>204</v>
      </c>
    </row>
    <row r="100" spans="1:7" x14ac:dyDescent="0.25">
      <c r="A100">
        <v>12405357555</v>
      </c>
      <c r="B100" t="s">
        <v>200</v>
      </c>
      <c r="C100" t="str">
        <f>"18056995993011093"</f>
        <v>18056995993011093</v>
      </c>
      <c r="D100" t="s">
        <v>13</v>
      </c>
      <c r="E100" t="s">
        <v>205</v>
      </c>
      <c r="F100" t="s">
        <v>203</v>
      </c>
      <c r="G100" t="s">
        <v>204</v>
      </c>
    </row>
    <row r="101" spans="1:7" x14ac:dyDescent="0.25">
      <c r="A101">
        <v>12405357555</v>
      </c>
      <c r="B101" t="s">
        <v>200</v>
      </c>
      <c r="C101" t="str">
        <f>"17869441888360073"</f>
        <v>17869441888360073</v>
      </c>
      <c r="D101" t="s">
        <v>201</v>
      </c>
      <c r="E101" t="s">
        <v>202</v>
      </c>
      <c r="F101" t="s">
        <v>203</v>
      </c>
      <c r="G101" t="s">
        <v>204</v>
      </c>
    </row>
    <row r="102" spans="1:7" x14ac:dyDescent="0.25">
      <c r="A102">
        <v>12405357555</v>
      </c>
      <c r="B102" t="s">
        <v>200</v>
      </c>
      <c r="C102" t="str">
        <f>"18056995993011093"</f>
        <v>18056995993011093</v>
      </c>
      <c r="D102" t="s">
        <v>13</v>
      </c>
      <c r="E102" t="s">
        <v>205</v>
      </c>
      <c r="F102" t="s">
        <v>203</v>
      </c>
      <c r="G102" t="s">
        <v>204</v>
      </c>
    </row>
    <row r="103" spans="1:7" x14ac:dyDescent="0.25">
      <c r="A103">
        <v>4399942994</v>
      </c>
      <c r="B103" t="s">
        <v>206</v>
      </c>
      <c r="C103" t="str">
        <f>"17914830472070194"</f>
        <v>17914830472070194</v>
      </c>
      <c r="D103" t="s">
        <v>207</v>
      </c>
      <c r="E103" t="s">
        <v>208</v>
      </c>
      <c r="F103" t="s">
        <v>209</v>
      </c>
      <c r="G103" t="s">
        <v>210</v>
      </c>
    </row>
    <row r="104" spans="1:7" x14ac:dyDescent="0.25">
      <c r="A104">
        <v>4399942994</v>
      </c>
      <c r="B104" t="s">
        <v>206</v>
      </c>
      <c r="C104" t="str">
        <f>"17914830472070194"</f>
        <v>17914830472070194</v>
      </c>
      <c r="D104" t="s">
        <v>207</v>
      </c>
      <c r="E104" t="s">
        <v>208</v>
      </c>
      <c r="F104" t="s">
        <v>209</v>
      </c>
      <c r="G104" t="s">
        <v>210</v>
      </c>
    </row>
    <row r="105" spans="1:7" x14ac:dyDescent="0.25">
      <c r="A105">
        <v>196103409</v>
      </c>
      <c r="B105" t="s">
        <v>211</v>
      </c>
      <c r="C105" t="str">
        <f>"17920452286022812"</f>
        <v>17920452286022812</v>
      </c>
      <c r="D105" t="s">
        <v>97</v>
      </c>
      <c r="E105" t="s">
        <v>212</v>
      </c>
      <c r="F105" t="s">
        <v>213</v>
      </c>
      <c r="G105" t="s">
        <v>214</v>
      </c>
    </row>
    <row r="106" spans="1:7" x14ac:dyDescent="0.25">
      <c r="A106">
        <v>196103409</v>
      </c>
      <c r="B106" t="s">
        <v>211</v>
      </c>
      <c r="C106" t="str">
        <f>"17920452286022812"</f>
        <v>17920452286022812</v>
      </c>
      <c r="D106" t="s">
        <v>97</v>
      </c>
      <c r="E106" t="s">
        <v>212</v>
      </c>
      <c r="F106" t="s">
        <v>213</v>
      </c>
      <c r="G106" t="s">
        <v>214</v>
      </c>
    </row>
    <row r="107" spans="1:7" x14ac:dyDescent="0.25">
      <c r="A107">
        <v>196103409</v>
      </c>
      <c r="B107" t="s">
        <v>211</v>
      </c>
      <c r="C107" t="str">
        <f>"17920452286022812"</f>
        <v>17920452286022812</v>
      </c>
      <c r="D107" t="s">
        <v>97</v>
      </c>
      <c r="E107" t="s">
        <v>212</v>
      </c>
      <c r="F107" t="s">
        <v>213</v>
      </c>
      <c r="G107" t="s">
        <v>214</v>
      </c>
    </row>
    <row r="108" spans="1:7" x14ac:dyDescent="0.25">
      <c r="A108">
        <v>277205517</v>
      </c>
      <c r="B108" t="s">
        <v>215</v>
      </c>
      <c r="C108" t="str">
        <f>"17922588580047785"</f>
        <v>17922588580047785</v>
      </c>
      <c r="D108" t="s">
        <v>216</v>
      </c>
      <c r="E108" t="s">
        <v>217</v>
      </c>
      <c r="F108" t="s">
        <v>218</v>
      </c>
      <c r="G108" t="s">
        <v>219</v>
      </c>
    </row>
    <row r="109" spans="1:7" x14ac:dyDescent="0.25">
      <c r="A109">
        <v>277205517</v>
      </c>
      <c r="B109" t="s">
        <v>215</v>
      </c>
      <c r="C109" t="str">
        <f>"17922588580047785"</f>
        <v>17922588580047785</v>
      </c>
      <c r="D109" t="s">
        <v>216</v>
      </c>
      <c r="E109" t="s">
        <v>217</v>
      </c>
      <c r="F109" t="s">
        <v>218</v>
      </c>
      <c r="G109" t="s">
        <v>219</v>
      </c>
    </row>
    <row r="110" spans="1:7" x14ac:dyDescent="0.25">
      <c r="A110">
        <v>277205517</v>
      </c>
      <c r="B110" t="s">
        <v>215</v>
      </c>
      <c r="C110" t="str">
        <f>"17922588580047785"</f>
        <v>17922588580047785</v>
      </c>
      <c r="D110" t="s">
        <v>216</v>
      </c>
      <c r="E110" t="s">
        <v>217</v>
      </c>
      <c r="F110" t="s">
        <v>218</v>
      </c>
      <c r="G110" t="s">
        <v>219</v>
      </c>
    </row>
    <row r="111" spans="1:7" x14ac:dyDescent="0.25">
      <c r="A111">
        <v>17556154</v>
      </c>
      <c r="B111" t="s">
        <v>220</v>
      </c>
      <c r="C111" t="str">
        <f>"17904593719082458"</f>
        <v>17904593719082458</v>
      </c>
      <c r="D111" t="s">
        <v>221</v>
      </c>
      <c r="E111" t="s">
        <v>222</v>
      </c>
      <c r="F111" t="s">
        <v>223</v>
      </c>
      <c r="G111" t="s">
        <v>224</v>
      </c>
    </row>
    <row r="112" spans="1:7" x14ac:dyDescent="0.25">
      <c r="A112">
        <v>17556154</v>
      </c>
      <c r="B112" t="s">
        <v>220</v>
      </c>
      <c r="C112" t="str">
        <f>"17904593719082458"</f>
        <v>17904593719082458</v>
      </c>
      <c r="D112" t="s">
        <v>221</v>
      </c>
      <c r="E112" t="s">
        <v>222</v>
      </c>
      <c r="F112" t="s">
        <v>223</v>
      </c>
      <c r="G112" t="s">
        <v>224</v>
      </c>
    </row>
    <row r="113" spans="1:7" x14ac:dyDescent="0.25">
      <c r="A113">
        <v>17556154</v>
      </c>
      <c r="B113" t="s">
        <v>220</v>
      </c>
      <c r="C113" t="str">
        <f>"17904593719082458"</f>
        <v>17904593719082458</v>
      </c>
      <c r="D113" t="s">
        <v>221</v>
      </c>
      <c r="E113" t="s">
        <v>222</v>
      </c>
      <c r="F113" t="s">
        <v>223</v>
      </c>
      <c r="G113" t="s">
        <v>224</v>
      </c>
    </row>
    <row r="114" spans="1:7" x14ac:dyDescent="0.25">
      <c r="A114">
        <v>292417303</v>
      </c>
      <c r="B114" t="s">
        <v>225</v>
      </c>
      <c r="C114" t="str">
        <f>"17916569440130379"</f>
        <v>17916569440130379</v>
      </c>
      <c r="D114" t="s">
        <v>226</v>
      </c>
      <c r="E114" t="s">
        <v>227</v>
      </c>
      <c r="F114" t="s">
        <v>228</v>
      </c>
      <c r="G114" t="s">
        <v>229</v>
      </c>
    </row>
    <row r="115" spans="1:7" x14ac:dyDescent="0.25">
      <c r="A115">
        <v>292417303</v>
      </c>
      <c r="B115" t="s">
        <v>225</v>
      </c>
      <c r="C115" t="str">
        <f>"17916569440130379"</f>
        <v>17916569440130379</v>
      </c>
      <c r="D115" t="s">
        <v>226</v>
      </c>
      <c r="E115" t="s">
        <v>227</v>
      </c>
      <c r="F115" t="s">
        <v>228</v>
      </c>
      <c r="G115" t="s">
        <v>230</v>
      </c>
    </row>
    <row r="116" spans="1:7" x14ac:dyDescent="0.25">
      <c r="A116">
        <v>292417303</v>
      </c>
      <c r="B116" t="s">
        <v>225</v>
      </c>
      <c r="C116" t="str">
        <f>"17916569440130379"</f>
        <v>17916569440130379</v>
      </c>
      <c r="D116" t="s">
        <v>226</v>
      </c>
      <c r="E116" t="s">
        <v>227</v>
      </c>
      <c r="F116" t="s">
        <v>228</v>
      </c>
      <c r="G116" t="s">
        <v>229</v>
      </c>
    </row>
    <row r="117" spans="1:7" x14ac:dyDescent="0.25">
      <c r="A117">
        <v>5360398692</v>
      </c>
      <c r="B117" t="s">
        <v>70</v>
      </c>
      <c r="C117" t="str">
        <f>"17892480361158664"</f>
        <v>17892480361158664</v>
      </c>
      <c r="D117" t="s">
        <v>71</v>
      </c>
      <c r="E117" t="s">
        <v>231</v>
      </c>
      <c r="F117" t="s">
        <v>73</v>
      </c>
      <c r="G117" t="s">
        <v>232</v>
      </c>
    </row>
    <row r="118" spans="1:7" x14ac:dyDescent="0.25">
      <c r="A118">
        <v>1829366230</v>
      </c>
      <c r="B118" t="s">
        <v>233</v>
      </c>
      <c r="C118" t="str">
        <f>"17920454791030673"</f>
        <v>17920454791030673</v>
      </c>
      <c r="D118" t="s">
        <v>234</v>
      </c>
      <c r="E118" t="s">
        <v>235</v>
      </c>
      <c r="F118" t="s">
        <v>236</v>
      </c>
      <c r="G118" t="s">
        <v>237</v>
      </c>
    </row>
    <row r="119" spans="1:7" x14ac:dyDescent="0.25">
      <c r="A119">
        <v>2947040176</v>
      </c>
      <c r="B119" t="s">
        <v>238</v>
      </c>
      <c r="C119" t="str">
        <f>"17902419466087867"</f>
        <v>17902419466087867</v>
      </c>
      <c r="D119" t="s">
        <v>239</v>
      </c>
      <c r="E119" t="s">
        <v>240</v>
      </c>
      <c r="F119" t="s">
        <v>241</v>
      </c>
      <c r="G119" t="s">
        <v>242</v>
      </c>
    </row>
    <row r="120" spans="1:7" x14ac:dyDescent="0.25">
      <c r="A120">
        <v>3732795103</v>
      </c>
      <c r="B120" t="s">
        <v>243</v>
      </c>
      <c r="C120" t="str">
        <f>"17861419936204379"</f>
        <v>17861419936204379</v>
      </c>
      <c r="D120" t="s">
        <v>244</v>
      </c>
      <c r="E120" t="s">
        <v>245</v>
      </c>
      <c r="F120" t="s">
        <v>246</v>
      </c>
      <c r="G120" t="s">
        <v>247</v>
      </c>
    </row>
    <row r="121" spans="1:7" x14ac:dyDescent="0.25">
      <c r="A121">
        <v>5360398692</v>
      </c>
      <c r="B121" t="s">
        <v>70</v>
      </c>
      <c r="C121" t="str">
        <f>"17892480361158664"</f>
        <v>17892480361158664</v>
      </c>
      <c r="D121" t="s">
        <v>71</v>
      </c>
      <c r="E121" t="s">
        <v>231</v>
      </c>
      <c r="F121" t="s">
        <v>73</v>
      </c>
      <c r="G121" t="s">
        <v>232</v>
      </c>
    </row>
    <row r="122" spans="1:7" x14ac:dyDescent="0.25">
      <c r="A122">
        <v>1829366230</v>
      </c>
      <c r="B122" t="s">
        <v>233</v>
      </c>
      <c r="C122" t="str">
        <f>"17920454791030673"</f>
        <v>17920454791030673</v>
      </c>
      <c r="D122" t="s">
        <v>234</v>
      </c>
      <c r="E122" t="s">
        <v>235</v>
      </c>
      <c r="F122" t="s">
        <v>236</v>
      </c>
      <c r="G122" t="s">
        <v>237</v>
      </c>
    </row>
    <row r="123" spans="1:7" x14ac:dyDescent="0.25">
      <c r="A123">
        <v>2947040176</v>
      </c>
      <c r="B123" t="s">
        <v>238</v>
      </c>
      <c r="C123" t="str">
        <f>"17902419466087867"</f>
        <v>17902419466087867</v>
      </c>
      <c r="D123" t="s">
        <v>239</v>
      </c>
      <c r="E123" t="s">
        <v>240</v>
      </c>
      <c r="F123" t="s">
        <v>241</v>
      </c>
      <c r="G123" t="s">
        <v>242</v>
      </c>
    </row>
    <row r="124" spans="1:7" x14ac:dyDescent="0.25">
      <c r="A124">
        <v>3732795103</v>
      </c>
      <c r="B124" t="s">
        <v>243</v>
      </c>
      <c r="C124" t="str">
        <f>"17861419936204379"</f>
        <v>17861419936204379</v>
      </c>
      <c r="D124" t="s">
        <v>244</v>
      </c>
      <c r="E124" t="s">
        <v>245</v>
      </c>
      <c r="F124" t="s">
        <v>246</v>
      </c>
      <c r="G124" t="s">
        <v>247</v>
      </c>
    </row>
    <row r="125" spans="1:7" x14ac:dyDescent="0.25">
      <c r="A125">
        <v>5360398692</v>
      </c>
      <c r="B125" t="s">
        <v>70</v>
      </c>
      <c r="C125" t="str">
        <f>"17892480361158664"</f>
        <v>17892480361158664</v>
      </c>
      <c r="D125" t="s">
        <v>71</v>
      </c>
      <c r="E125" t="s">
        <v>231</v>
      </c>
      <c r="F125" t="s">
        <v>73</v>
      </c>
      <c r="G125" t="s">
        <v>232</v>
      </c>
    </row>
    <row r="126" spans="1:7" x14ac:dyDescent="0.25">
      <c r="A126">
        <v>1829366230</v>
      </c>
      <c r="B126" t="s">
        <v>233</v>
      </c>
      <c r="C126" t="str">
        <f>"17920454791030673"</f>
        <v>17920454791030673</v>
      </c>
      <c r="D126" t="s">
        <v>234</v>
      </c>
      <c r="E126" t="s">
        <v>235</v>
      </c>
      <c r="F126" t="s">
        <v>236</v>
      </c>
      <c r="G126" t="s">
        <v>237</v>
      </c>
    </row>
    <row r="127" spans="1:7" x14ac:dyDescent="0.25">
      <c r="A127">
        <v>2947040176</v>
      </c>
      <c r="B127" t="s">
        <v>238</v>
      </c>
      <c r="C127" t="str">
        <f>"17902419466087867"</f>
        <v>17902419466087867</v>
      </c>
      <c r="D127" t="s">
        <v>239</v>
      </c>
      <c r="E127" t="s">
        <v>240</v>
      </c>
      <c r="F127" t="s">
        <v>241</v>
      </c>
      <c r="G127" t="s">
        <v>242</v>
      </c>
    </row>
    <row r="128" spans="1:7" x14ac:dyDescent="0.25">
      <c r="A128">
        <v>3732795103</v>
      </c>
      <c r="B128" t="s">
        <v>243</v>
      </c>
      <c r="C128" t="str">
        <f>"17861419936204379"</f>
        <v>17861419936204379</v>
      </c>
      <c r="D128" t="s">
        <v>244</v>
      </c>
      <c r="E128" t="s">
        <v>245</v>
      </c>
      <c r="F128" t="s">
        <v>246</v>
      </c>
      <c r="G128" t="s">
        <v>247</v>
      </c>
    </row>
    <row r="129" spans="1:7" x14ac:dyDescent="0.25">
      <c r="A129">
        <v>5360398692</v>
      </c>
      <c r="B129" t="s">
        <v>70</v>
      </c>
      <c r="C129" t="str">
        <f>"17892480361158664"</f>
        <v>17892480361158664</v>
      </c>
      <c r="D129" t="s">
        <v>71</v>
      </c>
      <c r="E129" t="s">
        <v>231</v>
      </c>
      <c r="F129" t="s">
        <v>73</v>
      </c>
      <c r="G129" t="s">
        <v>248</v>
      </c>
    </row>
    <row r="130" spans="1:7" x14ac:dyDescent="0.25">
      <c r="A130">
        <v>1829366230</v>
      </c>
      <c r="B130" t="s">
        <v>233</v>
      </c>
      <c r="C130" t="str">
        <f>"17920454791030673"</f>
        <v>17920454791030673</v>
      </c>
      <c r="D130" t="s">
        <v>234</v>
      </c>
      <c r="E130" t="s">
        <v>235</v>
      </c>
      <c r="F130" t="s">
        <v>236</v>
      </c>
      <c r="G130" t="s">
        <v>249</v>
      </c>
    </row>
    <row r="131" spans="1:7" x14ac:dyDescent="0.25">
      <c r="A131">
        <v>2947040176</v>
      </c>
      <c r="B131" t="s">
        <v>238</v>
      </c>
      <c r="C131" t="str">
        <f>"17902419466087867"</f>
        <v>17902419466087867</v>
      </c>
      <c r="D131" t="s">
        <v>239</v>
      </c>
      <c r="E131" t="s">
        <v>240</v>
      </c>
      <c r="F131" t="s">
        <v>241</v>
      </c>
      <c r="G131" t="s">
        <v>250</v>
      </c>
    </row>
    <row r="132" spans="1:7" x14ac:dyDescent="0.25">
      <c r="A132">
        <v>3732795103</v>
      </c>
      <c r="B132" t="s">
        <v>243</v>
      </c>
      <c r="C132" t="str">
        <f>"17861419936204379"</f>
        <v>17861419936204379</v>
      </c>
      <c r="D132" t="s">
        <v>244</v>
      </c>
      <c r="E132" t="s">
        <v>245</v>
      </c>
      <c r="F132" t="s">
        <v>246</v>
      </c>
      <c r="G132" t="s">
        <v>251</v>
      </c>
    </row>
    <row r="133" spans="1:7" x14ac:dyDescent="0.25">
      <c r="A133">
        <v>5360398692</v>
      </c>
      <c r="B133" t="s">
        <v>70</v>
      </c>
      <c r="C133" t="str">
        <f>"17892480361158664"</f>
        <v>17892480361158664</v>
      </c>
      <c r="D133" t="s">
        <v>71</v>
      </c>
      <c r="E133" t="s">
        <v>231</v>
      </c>
      <c r="F133" t="s">
        <v>73</v>
      </c>
      <c r="G133" t="s">
        <v>232</v>
      </c>
    </row>
    <row r="134" spans="1:7" x14ac:dyDescent="0.25">
      <c r="A134">
        <v>1829366230</v>
      </c>
      <c r="B134" t="s">
        <v>233</v>
      </c>
      <c r="C134" t="str">
        <f>"17920454791030673"</f>
        <v>17920454791030673</v>
      </c>
      <c r="D134" t="s">
        <v>234</v>
      </c>
      <c r="E134" t="s">
        <v>235</v>
      </c>
      <c r="F134" t="s">
        <v>236</v>
      </c>
      <c r="G134" t="s">
        <v>237</v>
      </c>
    </row>
    <row r="135" spans="1:7" x14ac:dyDescent="0.25">
      <c r="A135">
        <v>2947040176</v>
      </c>
      <c r="B135" t="s">
        <v>238</v>
      </c>
      <c r="C135" t="str">
        <f>"17902419466087867"</f>
        <v>17902419466087867</v>
      </c>
      <c r="D135" t="s">
        <v>239</v>
      </c>
      <c r="E135" t="s">
        <v>240</v>
      </c>
      <c r="F135" t="s">
        <v>241</v>
      </c>
      <c r="G135" t="s">
        <v>242</v>
      </c>
    </row>
    <row r="136" spans="1:7" x14ac:dyDescent="0.25">
      <c r="A136">
        <v>3732795103</v>
      </c>
      <c r="B136" t="s">
        <v>243</v>
      </c>
      <c r="C136" t="str">
        <f>"17861419936204379"</f>
        <v>17861419936204379</v>
      </c>
      <c r="D136" t="s">
        <v>244</v>
      </c>
      <c r="E136" t="s">
        <v>245</v>
      </c>
      <c r="F136" t="s">
        <v>246</v>
      </c>
      <c r="G136" t="s">
        <v>247</v>
      </c>
    </row>
    <row r="137" spans="1:7" x14ac:dyDescent="0.25">
      <c r="A137">
        <v>6216067155</v>
      </c>
      <c r="B137" t="s">
        <v>252</v>
      </c>
      <c r="C137" t="str">
        <f>"17907364057114970"</f>
        <v>17907364057114970</v>
      </c>
      <c r="D137" t="s">
        <v>253</v>
      </c>
      <c r="E137" t="s">
        <v>254</v>
      </c>
      <c r="F137" t="s">
        <v>255</v>
      </c>
      <c r="G137" t="s">
        <v>256</v>
      </c>
    </row>
    <row r="138" spans="1:7" x14ac:dyDescent="0.25">
      <c r="A138">
        <v>5505035304</v>
      </c>
      <c r="B138" t="s">
        <v>257</v>
      </c>
      <c r="C138" t="str">
        <f>"17908762801098856"</f>
        <v>17908762801098856</v>
      </c>
      <c r="D138" t="s">
        <v>258</v>
      </c>
      <c r="E138" t="s">
        <v>259</v>
      </c>
      <c r="F138" t="s">
        <v>260</v>
      </c>
      <c r="G138" t="s">
        <v>261</v>
      </c>
    </row>
    <row r="139" spans="1:7" x14ac:dyDescent="0.25">
      <c r="A139">
        <v>6216067155</v>
      </c>
      <c r="B139" t="s">
        <v>252</v>
      </c>
      <c r="C139" t="str">
        <f>"17907364057114970"</f>
        <v>17907364057114970</v>
      </c>
      <c r="D139" t="s">
        <v>253</v>
      </c>
      <c r="E139" t="s">
        <v>254</v>
      </c>
      <c r="F139" t="s">
        <v>255</v>
      </c>
      <c r="G139" t="s">
        <v>262</v>
      </c>
    </row>
    <row r="140" spans="1:7" x14ac:dyDescent="0.25">
      <c r="A140">
        <v>5505035304</v>
      </c>
      <c r="B140" t="s">
        <v>257</v>
      </c>
      <c r="C140" t="str">
        <f>"17908762801098856"</f>
        <v>17908762801098856</v>
      </c>
      <c r="D140" t="s">
        <v>258</v>
      </c>
      <c r="E140" t="s">
        <v>259</v>
      </c>
      <c r="F140" t="s">
        <v>260</v>
      </c>
      <c r="G140" t="s">
        <v>263</v>
      </c>
    </row>
    <row r="141" spans="1:7" x14ac:dyDescent="0.25">
      <c r="A141">
        <v>6216067155</v>
      </c>
      <c r="B141" t="s">
        <v>252</v>
      </c>
      <c r="C141" t="str">
        <f>"17907364057114970"</f>
        <v>17907364057114970</v>
      </c>
      <c r="D141" t="s">
        <v>253</v>
      </c>
      <c r="E141" t="s">
        <v>254</v>
      </c>
      <c r="F141" t="s">
        <v>255</v>
      </c>
      <c r="G141" t="s">
        <v>256</v>
      </c>
    </row>
    <row r="142" spans="1:7" x14ac:dyDescent="0.25">
      <c r="A142">
        <v>5505035304</v>
      </c>
      <c r="B142" t="s">
        <v>257</v>
      </c>
      <c r="C142" t="str">
        <f>"17908762801098856"</f>
        <v>17908762801098856</v>
      </c>
      <c r="D142" t="s">
        <v>258</v>
      </c>
      <c r="E142" t="s">
        <v>259</v>
      </c>
      <c r="F142" t="s">
        <v>260</v>
      </c>
      <c r="G142" t="s">
        <v>261</v>
      </c>
    </row>
    <row r="143" spans="1:7" x14ac:dyDescent="0.25">
      <c r="A143">
        <v>290401556</v>
      </c>
      <c r="B143" t="s">
        <v>264</v>
      </c>
      <c r="C143" t="str">
        <f>"17919870481074603"</f>
        <v>17919870481074603</v>
      </c>
      <c r="D143" t="s">
        <v>265</v>
      </c>
      <c r="E143" t="s">
        <v>266</v>
      </c>
      <c r="F143" t="s">
        <v>267</v>
      </c>
      <c r="G143" t="s">
        <v>268</v>
      </c>
    </row>
    <row r="144" spans="1:7" x14ac:dyDescent="0.25">
      <c r="A144">
        <v>290401556</v>
      </c>
      <c r="B144" t="s">
        <v>264</v>
      </c>
      <c r="C144" t="str">
        <f>"17919870481074603"</f>
        <v>17919870481074603</v>
      </c>
      <c r="D144" t="s">
        <v>265</v>
      </c>
      <c r="E144" t="s">
        <v>266</v>
      </c>
      <c r="F144" t="s">
        <v>267</v>
      </c>
      <c r="G144" t="s">
        <v>268</v>
      </c>
    </row>
    <row r="145" spans="1:7" x14ac:dyDescent="0.25">
      <c r="A145">
        <v>290401556</v>
      </c>
      <c r="B145" t="s">
        <v>264</v>
      </c>
      <c r="C145" t="str">
        <f>"17919870481074603"</f>
        <v>17919870481074603</v>
      </c>
      <c r="D145" t="s">
        <v>265</v>
      </c>
      <c r="E145" t="s">
        <v>266</v>
      </c>
      <c r="F145" t="s">
        <v>267</v>
      </c>
      <c r="G145" t="s">
        <v>269</v>
      </c>
    </row>
    <row r="146" spans="1:7" x14ac:dyDescent="0.25">
      <c r="A146">
        <v>4202553513</v>
      </c>
      <c r="B146" t="s">
        <v>270</v>
      </c>
      <c r="C146" t="str">
        <f>"17930542252012288"</f>
        <v>17930542252012288</v>
      </c>
      <c r="D146" t="s">
        <v>271</v>
      </c>
      <c r="E146" t="s">
        <v>272</v>
      </c>
      <c r="F146" t="s">
        <v>273</v>
      </c>
      <c r="G146" t="s">
        <v>274</v>
      </c>
    </row>
    <row r="147" spans="1:7" x14ac:dyDescent="0.25">
      <c r="A147">
        <v>4202553513</v>
      </c>
      <c r="B147" t="s">
        <v>270</v>
      </c>
      <c r="C147" t="str">
        <f>"17930542252012288"</f>
        <v>17930542252012288</v>
      </c>
      <c r="D147" t="s">
        <v>271</v>
      </c>
      <c r="E147" t="s">
        <v>272</v>
      </c>
      <c r="F147" t="s">
        <v>273</v>
      </c>
      <c r="G147" t="s">
        <v>274</v>
      </c>
    </row>
    <row r="148" spans="1:7" x14ac:dyDescent="0.25">
      <c r="A148">
        <v>5543868577</v>
      </c>
      <c r="B148" t="s">
        <v>275</v>
      </c>
      <c r="C148" t="str">
        <f>"17895614179174155"</f>
        <v>17895614179174155</v>
      </c>
      <c r="D148" t="s">
        <v>276</v>
      </c>
      <c r="E148" t="s">
        <v>277</v>
      </c>
      <c r="F148" t="s">
        <v>278</v>
      </c>
      <c r="G148" t="s">
        <v>279</v>
      </c>
    </row>
    <row r="149" spans="1:7" x14ac:dyDescent="0.25">
      <c r="A149">
        <v>5543868577</v>
      </c>
      <c r="B149" t="s">
        <v>275</v>
      </c>
      <c r="C149" t="str">
        <f>"17895614179174155"</f>
        <v>17895614179174155</v>
      </c>
      <c r="D149" t="s">
        <v>276</v>
      </c>
      <c r="E149" t="s">
        <v>277</v>
      </c>
      <c r="F149" t="s">
        <v>278</v>
      </c>
      <c r="G149" t="s">
        <v>279</v>
      </c>
    </row>
    <row r="150" spans="1:7" x14ac:dyDescent="0.25">
      <c r="A150">
        <v>327907725</v>
      </c>
      <c r="B150" t="s">
        <v>280</v>
      </c>
      <c r="C150" t="str">
        <f>"17930224882042281"</f>
        <v>17930224882042281</v>
      </c>
      <c r="D150" t="s">
        <v>281</v>
      </c>
      <c r="E150" t="s">
        <v>282</v>
      </c>
      <c r="F150" t="s">
        <v>283</v>
      </c>
      <c r="G150" t="s">
        <v>284</v>
      </c>
    </row>
    <row r="151" spans="1:7" x14ac:dyDescent="0.25">
      <c r="A151">
        <v>327907725</v>
      </c>
      <c r="B151" t="s">
        <v>280</v>
      </c>
      <c r="C151" t="str">
        <f>"17930224882042281"</f>
        <v>17930224882042281</v>
      </c>
      <c r="D151" t="s">
        <v>281</v>
      </c>
      <c r="E151" t="s">
        <v>282</v>
      </c>
      <c r="F151" t="s">
        <v>283</v>
      </c>
      <c r="G151" t="s">
        <v>284</v>
      </c>
    </row>
    <row r="152" spans="1:7" x14ac:dyDescent="0.25">
      <c r="A152">
        <v>327907725</v>
      </c>
      <c r="B152" t="s">
        <v>280</v>
      </c>
      <c r="C152" t="str">
        <f>"17930224882042281"</f>
        <v>17930224882042281</v>
      </c>
      <c r="D152" t="s">
        <v>281</v>
      </c>
      <c r="E152" t="s">
        <v>282</v>
      </c>
      <c r="F152" t="s">
        <v>283</v>
      </c>
      <c r="G152" t="s">
        <v>284</v>
      </c>
    </row>
    <row r="153" spans="1:7" x14ac:dyDescent="0.25">
      <c r="A153">
        <v>5574066583</v>
      </c>
      <c r="B153" t="s">
        <v>285</v>
      </c>
      <c r="C153" t="str">
        <f>"17909097217087956"</f>
        <v>17909097217087956</v>
      </c>
      <c r="D153" t="s">
        <v>286</v>
      </c>
      <c r="E153" t="s">
        <v>287</v>
      </c>
      <c r="F153" t="s">
        <v>288</v>
      </c>
      <c r="G153" t="s">
        <v>289</v>
      </c>
    </row>
    <row r="154" spans="1:7" x14ac:dyDescent="0.25">
      <c r="A154">
        <v>5574066583</v>
      </c>
      <c r="B154" t="s">
        <v>285</v>
      </c>
      <c r="C154" t="str">
        <f>"17909097217087956"</f>
        <v>17909097217087956</v>
      </c>
      <c r="D154" t="s">
        <v>286</v>
      </c>
      <c r="E154" t="s">
        <v>287</v>
      </c>
      <c r="F154" t="s">
        <v>288</v>
      </c>
      <c r="G154" t="s">
        <v>289</v>
      </c>
    </row>
    <row r="155" spans="1:7" x14ac:dyDescent="0.25">
      <c r="A155">
        <v>1072839633</v>
      </c>
      <c r="B155" t="s">
        <v>290</v>
      </c>
      <c r="C155" t="str">
        <f>"17899990354170775"</f>
        <v>17899990354170775</v>
      </c>
      <c r="D155" t="s">
        <v>291</v>
      </c>
      <c r="E155" t="s">
        <v>292</v>
      </c>
      <c r="F155" t="s">
        <v>293</v>
      </c>
      <c r="G155" t="s">
        <v>294</v>
      </c>
    </row>
    <row r="156" spans="1:7" x14ac:dyDescent="0.25">
      <c r="A156">
        <v>1072839633</v>
      </c>
      <c r="B156" t="s">
        <v>290</v>
      </c>
      <c r="C156" t="str">
        <f>"17899990354170775"</f>
        <v>17899990354170775</v>
      </c>
      <c r="D156" t="s">
        <v>291</v>
      </c>
      <c r="E156" t="s">
        <v>292</v>
      </c>
      <c r="F156" t="s">
        <v>293</v>
      </c>
      <c r="G156" t="s">
        <v>294</v>
      </c>
    </row>
    <row r="157" spans="1:7" x14ac:dyDescent="0.25">
      <c r="A157">
        <v>7161208549</v>
      </c>
      <c r="B157" t="s">
        <v>295</v>
      </c>
      <c r="C157" t="str">
        <f>"17863293295238471"</f>
        <v>17863293295238471</v>
      </c>
      <c r="D157" t="s">
        <v>296</v>
      </c>
      <c r="E157" t="s">
        <v>297</v>
      </c>
      <c r="F157" t="s">
        <v>298</v>
      </c>
      <c r="G157" t="s">
        <v>299</v>
      </c>
    </row>
    <row r="158" spans="1:7" x14ac:dyDescent="0.25">
      <c r="A158">
        <v>7161208549</v>
      </c>
      <c r="B158" t="s">
        <v>295</v>
      </c>
      <c r="C158" t="str">
        <f>"17863293295238471"</f>
        <v>17863293295238471</v>
      </c>
      <c r="D158" t="s">
        <v>296</v>
      </c>
      <c r="E158" t="s">
        <v>297</v>
      </c>
      <c r="F158" t="s">
        <v>298</v>
      </c>
      <c r="G158" t="s">
        <v>299</v>
      </c>
    </row>
    <row r="159" spans="1:7" x14ac:dyDescent="0.25">
      <c r="A159">
        <v>6010471113</v>
      </c>
      <c r="B159" t="s">
        <v>300</v>
      </c>
      <c r="C159" t="str">
        <f>"17906429203132442"</f>
        <v>17906429203132442</v>
      </c>
      <c r="D159" t="s">
        <v>301</v>
      </c>
      <c r="E159" t="s">
        <v>302</v>
      </c>
      <c r="F159" t="s">
        <v>303</v>
      </c>
      <c r="G159" t="s">
        <v>304</v>
      </c>
    </row>
    <row r="160" spans="1:7" x14ac:dyDescent="0.25">
      <c r="A160">
        <v>2071050321</v>
      </c>
      <c r="B160" t="s">
        <v>305</v>
      </c>
      <c r="C160" t="str">
        <f>"17871472243222185"</f>
        <v>17871472243222185</v>
      </c>
      <c r="D160" t="s">
        <v>306</v>
      </c>
      <c r="E160" t="s">
        <v>307</v>
      </c>
      <c r="F160" t="s">
        <v>308</v>
      </c>
      <c r="G160" t="s">
        <v>309</v>
      </c>
    </row>
    <row r="161" spans="1:7" x14ac:dyDescent="0.25">
      <c r="A161">
        <v>6010471113</v>
      </c>
      <c r="B161" t="s">
        <v>300</v>
      </c>
      <c r="C161" t="str">
        <f>"17906429203132442"</f>
        <v>17906429203132442</v>
      </c>
      <c r="D161" t="s">
        <v>301</v>
      </c>
      <c r="E161" t="s">
        <v>302</v>
      </c>
      <c r="F161" t="s">
        <v>303</v>
      </c>
      <c r="G161" t="s">
        <v>304</v>
      </c>
    </row>
    <row r="162" spans="1:7" x14ac:dyDescent="0.25">
      <c r="A162">
        <v>2071050321</v>
      </c>
      <c r="B162" t="s">
        <v>305</v>
      </c>
      <c r="C162" t="str">
        <f>"17871472243222185"</f>
        <v>17871472243222185</v>
      </c>
      <c r="D162" t="s">
        <v>306</v>
      </c>
      <c r="E162" t="s">
        <v>307</v>
      </c>
      <c r="F162" t="s">
        <v>308</v>
      </c>
      <c r="G162" t="s">
        <v>309</v>
      </c>
    </row>
    <row r="163" spans="1:7" x14ac:dyDescent="0.25">
      <c r="A163">
        <v>6126895198</v>
      </c>
      <c r="B163" t="s">
        <v>310</v>
      </c>
      <c r="C163" t="str">
        <f>"17930267824016504"</f>
        <v>17930267824016504</v>
      </c>
      <c r="D163" t="s">
        <v>311</v>
      </c>
      <c r="E163" t="s">
        <v>312</v>
      </c>
      <c r="F163" t="s">
        <v>313</v>
      </c>
      <c r="G163" t="s">
        <v>314</v>
      </c>
    </row>
    <row r="164" spans="1:7" x14ac:dyDescent="0.25">
      <c r="A164">
        <v>5810109511</v>
      </c>
      <c r="B164" t="s">
        <v>315</v>
      </c>
      <c r="C164" t="str">
        <f>"17985678709211565"</f>
        <v>17985678709211565</v>
      </c>
      <c r="D164" t="s">
        <v>316</v>
      </c>
      <c r="E164" t="s">
        <v>317</v>
      </c>
      <c r="F164" t="s">
        <v>318</v>
      </c>
      <c r="G164" t="s">
        <v>319</v>
      </c>
    </row>
    <row r="165" spans="1:7" x14ac:dyDescent="0.25">
      <c r="A165">
        <v>3021342093</v>
      </c>
      <c r="B165" t="s">
        <v>320</v>
      </c>
      <c r="C165" t="str">
        <f>"17900672599198663"</f>
        <v>17900672599198663</v>
      </c>
      <c r="D165" t="s">
        <v>321</v>
      </c>
      <c r="E165" t="s">
        <v>322</v>
      </c>
      <c r="F165" t="s">
        <v>323</v>
      </c>
      <c r="G165" t="s">
        <v>324</v>
      </c>
    </row>
    <row r="166" spans="1:7" x14ac:dyDescent="0.25">
      <c r="A166">
        <v>3021342093</v>
      </c>
      <c r="B166" t="s">
        <v>320</v>
      </c>
      <c r="C166" t="str">
        <f>"17900672599198663"</f>
        <v>17900672599198663</v>
      </c>
      <c r="D166" t="s">
        <v>321</v>
      </c>
      <c r="E166" t="s">
        <v>322</v>
      </c>
      <c r="F166" t="s">
        <v>323</v>
      </c>
      <c r="G166" t="s">
        <v>324</v>
      </c>
    </row>
    <row r="167" spans="1:7" x14ac:dyDescent="0.25">
      <c r="A167">
        <v>3933071292</v>
      </c>
      <c r="B167" t="s">
        <v>325</v>
      </c>
      <c r="C167" t="str">
        <f>"17909406793133190"</f>
        <v>17909406793133190</v>
      </c>
      <c r="D167" t="s">
        <v>326</v>
      </c>
      <c r="E167" t="s">
        <v>327</v>
      </c>
      <c r="F167" t="s">
        <v>328</v>
      </c>
      <c r="G167" t="s">
        <v>329</v>
      </c>
    </row>
    <row r="168" spans="1:7" x14ac:dyDescent="0.25">
      <c r="A168">
        <v>3933071292</v>
      </c>
      <c r="B168" t="s">
        <v>325</v>
      </c>
      <c r="C168" t="str">
        <f>"17909406793133190"</f>
        <v>17909406793133190</v>
      </c>
      <c r="D168" t="s">
        <v>326</v>
      </c>
      <c r="E168" t="s">
        <v>327</v>
      </c>
      <c r="F168" t="s">
        <v>328</v>
      </c>
      <c r="G168" t="s">
        <v>329</v>
      </c>
    </row>
    <row r="169" spans="1:7" x14ac:dyDescent="0.25">
      <c r="A169">
        <v>21344625</v>
      </c>
      <c r="B169" t="s">
        <v>330</v>
      </c>
      <c r="C169" t="str">
        <f>"17911580839184674"</f>
        <v>17911580839184674</v>
      </c>
      <c r="D169" t="s">
        <v>331</v>
      </c>
      <c r="E169" t="s">
        <v>332</v>
      </c>
      <c r="F169" t="s">
        <v>333</v>
      </c>
      <c r="G169" t="s">
        <v>334</v>
      </c>
    </row>
    <row r="170" spans="1:7" x14ac:dyDescent="0.25">
      <c r="A170">
        <v>21344625</v>
      </c>
      <c r="B170" t="s">
        <v>330</v>
      </c>
      <c r="C170" t="str">
        <f>"17911580839184674"</f>
        <v>17911580839184674</v>
      </c>
      <c r="D170" t="s">
        <v>331</v>
      </c>
      <c r="E170" t="s">
        <v>332</v>
      </c>
      <c r="F170" t="s">
        <v>333</v>
      </c>
      <c r="G170" t="s">
        <v>334</v>
      </c>
    </row>
    <row r="171" spans="1:7" x14ac:dyDescent="0.25">
      <c r="A171">
        <v>21344625</v>
      </c>
      <c r="B171" t="s">
        <v>330</v>
      </c>
      <c r="C171" t="str">
        <f>"17911580839184674"</f>
        <v>17911580839184674</v>
      </c>
      <c r="D171" t="s">
        <v>331</v>
      </c>
      <c r="E171" t="s">
        <v>332</v>
      </c>
      <c r="F171" t="s">
        <v>333</v>
      </c>
      <c r="G171" t="s">
        <v>335</v>
      </c>
    </row>
    <row r="172" spans="1:7" x14ac:dyDescent="0.25">
      <c r="A172">
        <v>295825481</v>
      </c>
      <c r="B172" t="s">
        <v>336</v>
      </c>
      <c r="C172" t="str">
        <f>"17906698714166951"</f>
        <v>17906698714166951</v>
      </c>
      <c r="D172" t="s">
        <v>337</v>
      </c>
      <c r="E172" t="s">
        <v>338</v>
      </c>
      <c r="F172" t="s">
        <v>339</v>
      </c>
      <c r="G172" t="s">
        <v>340</v>
      </c>
    </row>
    <row r="173" spans="1:7" x14ac:dyDescent="0.25">
      <c r="A173">
        <v>314552272</v>
      </c>
      <c r="B173" t="s">
        <v>341</v>
      </c>
      <c r="C173" t="str">
        <f>"17863688044236852"</f>
        <v>17863688044236852</v>
      </c>
      <c r="D173" t="s">
        <v>342</v>
      </c>
      <c r="E173" t="s">
        <v>343</v>
      </c>
      <c r="F173" t="s">
        <v>344</v>
      </c>
      <c r="G173" t="s">
        <v>345</v>
      </c>
    </row>
    <row r="174" spans="1:7" x14ac:dyDescent="0.25">
      <c r="A174">
        <v>295825481</v>
      </c>
      <c r="B174" t="s">
        <v>336</v>
      </c>
      <c r="C174" t="str">
        <f>"17906698714166951"</f>
        <v>17906698714166951</v>
      </c>
      <c r="D174" t="s">
        <v>337</v>
      </c>
      <c r="E174" t="s">
        <v>338</v>
      </c>
      <c r="F174" t="s">
        <v>339</v>
      </c>
      <c r="G174" t="s">
        <v>340</v>
      </c>
    </row>
    <row r="175" spans="1:7" x14ac:dyDescent="0.25">
      <c r="A175">
        <v>314552272</v>
      </c>
      <c r="B175" t="s">
        <v>341</v>
      </c>
      <c r="C175" t="str">
        <f>"17863688044236852"</f>
        <v>17863688044236852</v>
      </c>
      <c r="D175" t="s">
        <v>342</v>
      </c>
      <c r="E175" t="s">
        <v>343</v>
      </c>
      <c r="F175" t="s">
        <v>344</v>
      </c>
      <c r="G175" t="s">
        <v>345</v>
      </c>
    </row>
    <row r="176" spans="1:7" x14ac:dyDescent="0.25">
      <c r="A176">
        <v>295825481</v>
      </c>
      <c r="B176" t="s">
        <v>336</v>
      </c>
      <c r="C176" t="str">
        <f>"17906698714166951"</f>
        <v>17906698714166951</v>
      </c>
      <c r="D176" t="s">
        <v>337</v>
      </c>
      <c r="E176" t="s">
        <v>338</v>
      </c>
      <c r="F176" t="s">
        <v>339</v>
      </c>
      <c r="G176" t="s">
        <v>346</v>
      </c>
    </row>
    <row r="177" spans="1:7" x14ac:dyDescent="0.25">
      <c r="A177">
        <v>314552272</v>
      </c>
      <c r="B177" t="s">
        <v>341</v>
      </c>
      <c r="C177" t="str">
        <f>"17863688044236852"</f>
        <v>17863688044236852</v>
      </c>
      <c r="D177" t="s">
        <v>342</v>
      </c>
      <c r="E177" t="s">
        <v>343</v>
      </c>
      <c r="F177" t="s">
        <v>344</v>
      </c>
      <c r="G177" t="s">
        <v>347</v>
      </c>
    </row>
    <row r="178" spans="1:7" x14ac:dyDescent="0.25">
      <c r="A178">
        <v>295825481</v>
      </c>
      <c r="B178" t="s">
        <v>336</v>
      </c>
      <c r="C178" t="str">
        <f>"17906698714166951"</f>
        <v>17906698714166951</v>
      </c>
      <c r="D178" t="s">
        <v>337</v>
      </c>
      <c r="E178" t="s">
        <v>338</v>
      </c>
      <c r="F178" t="s">
        <v>339</v>
      </c>
      <c r="G178" t="s">
        <v>340</v>
      </c>
    </row>
    <row r="179" spans="1:7" x14ac:dyDescent="0.25">
      <c r="A179">
        <v>314552272</v>
      </c>
      <c r="B179" t="s">
        <v>341</v>
      </c>
      <c r="C179" t="str">
        <f>"17863688044236852"</f>
        <v>17863688044236852</v>
      </c>
      <c r="D179" t="s">
        <v>342</v>
      </c>
      <c r="E179" t="s">
        <v>343</v>
      </c>
      <c r="F179" t="s">
        <v>344</v>
      </c>
      <c r="G179" t="s">
        <v>345</v>
      </c>
    </row>
    <row r="180" spans="1:7" x14ac:dyDescent="0.25">
      <c r="A180">
        <v>7329279733</v>
      </c>
      <c r="B180" t="s">
        <v>348</v>
      </c>
      <c r="C180" t="str">
        <f>"17876083900222493"</f>
        <v>17876083900222493</v>
      </c>
      <c r="D180" t="s">
        <v>349</v>
      </c>
      <c r="E180" t="s">
        <v>350</v>
      </c>
      <c r="F180" t="s">
        <v>351</v>
      </c>
      <c r="G180" t="s">
        <v>352</v>
      </c>
    </row>
    <row r="181" spans="1:7" x14ac:dyDescent="0.25">
      <c r="A181">
        <v>4590835619</v>
      </c>
      <c r="B181" t="s">
        <v>353</v>
      </c>
      <c r="C181" t="str">
        <f>"17908101982158829"</f>
        <v>17908101982158829</v>
      </c>
      <c r="D181" t="s">
        <v>354</v>
      </c>
      <c r="E181" t="s">
        <v>355</v>
      </c>
      <c r="F181" t="s">
        <v>356</v>
      </c>
      <c r="G181" t="s">
        <v>357</v>
      </c>
    </row>
    <row r="182" spans="1:7" x14ac:dyDescent="0.25">
      <c r="A182">
        <v>7329279733</v>
      </c>
      <c r="B182" t="s">
        <v>348</v>
      </c>
      <c r="C182" t="str">
        <f>"17876083900222493"</f>
        <v>17876083900222493</v>
      </c>
      <c r="D182" t="s">
        <v>349</v>
      </c>
      <c r="E182" t="s">
        <v>350</v>
      </c>
      <c r="F182" t="s">
        <v>351</v>
      </c>
      <c r="G182" t="s">
        <v>352</v>
      </c>
    </row>
    <row r="183" spans="1:7" x14ac:dyDescent="0.25">
      <c r="A183">
        <v>4590835619</v>
      </c>
      <c r="B183" t="s">
        <v>353</v>
      </c>
      <c r="C183" t="str">
        <f>"17908101982158829"</f>
        <v>17908101982158829</v>
      </c>
      <c r="D183" t="s">
        <v>354</v>
      </c>
      <c r="E183" t="s">
        <v>355</v>
      </c>
      <c r="F183" t="s">
        <v>356</v>
      </c>
      <c r="G183" t="s">
        <v>357</v>
      </c>
    </row>
    <row r="184" spans="1:7" x14ac:dyDescent="0.25">
      <c r="A184">
        <v>241859775</v>
      </c>
      <c r="B184" t="s">
        <v>358</v>
      </c>
      <c r="C184" t="str">
        <f>"17848608100254752"</f>
        <v>17848608100254752</v>
      </c>
      <c r="D184" t="s">
        <v>359</v>
      </c>
      <c r="E184" t="s">
        <v>360</v>
      </c>
      <c r="F184" t="s">
        <v>361</v>
      </c>
      <c r="G184" t="s">
        <v>362</v>
      </c>
    </row>
    <row r="185" spans="1:7" x14ac:dyDescent="0.25">
      <c r="A185">
        <v>184486261</v>
      </c>
      <c r="B185" t="s">
        <v>363</v>
      </c>
      <c r="C185" t="str">
        <f>"17865834454237866"</f>
        <v>17865834454237866</v>
      </c>
      <c r="D185" t="s">
        <v>364</v>
      </c>
      <c r="E185" t="s">
        <v>365</v>
      </c>
      <c r="F185" t="s">
        <v>366</v>
      </c>
      <c r="G185" t="s">
        <v>367</v>
      </c>
    </row>
    <row r="186" spans="1:7" x14ac:dyDescent="0.25">
      <c r="A186">
        <v>241859775</v>
      </c>
      <c r="B186" t="s">
        <v>358</v>
      </c>
      <c r="C186" t="str">
        <f>"17848608100254752"</f>
        <v>17848608100254752</v>
      </c>
      <c r="D186" t="s">
        <v>359</v>
      </c>
      <c r="E186" t="s">
        <v>360</v>
      </c>
      <c r="F186" t="s">
        <v>361</v>
      </c>
      <c r="G186" t="s">
        <v>368</v>
      </c>
    </row>
    <row r="187" spans="1:7" x14ac:dyDescent="0.25">
      <c r="A187">
        <v>184486261</v>
      </c>
      <c r="B187" t="s">
        <v>363</v>
      </c>
      <c r="C187" t="str">
        <f>"17865834454237866"</f>
        <v>17865834454237866</v>
      </c>
      <c r="D187" t="s">
        <v>364</v>
      </c>
      <c r="E187" t="s">
        <v>365</v>
      </c>
      <c r="F187" t="s">
        <v>366</v>
      </c>
      <c r="G187" t="s">
        <v>369</v>
      </c>
    </row>
    <row r="188" spans="1:7" x14ac:dyDescent="0.25">
      <c r="A188">
        <v>10861107</v>
      </c>
      <c r="B188" t="s">
        <v>370</v>
      </c>
      <c r="C188" t="str">
        <f>"17947184797015432"</f>
        <v>17947184797015432</v>
      </c>
      <c r="D188" t="s">
        <v>371</v>
      </c>
      <c r="E188" t="s">
        <v>372</v>
      </c>
      <c r="F188" t="s">
        <v>373</v>
      </c>
      <c r="G188" t="s">
        <v>374</v>
      </c>
    </row>
    <row r="189" spans="1:7" x14ac:dyDescent="0.25">
      <c r="A189">
        <v>10861107</v>
      </c>
      <c r="B189" t="s">
        <v>370</v>
      </c>
      <c r="C189" t="str">
        <f>"17947184797015432"</f>
        <v>17947184797015432</v>
      </c>
      <c r="D189" t="s">
        <v>371</v>
      </c>
      <c r="E189" t="s">
        <v>372</v>
      </c>
      <c r="F189" t="s">
        <v>373</v>
      </c>
      <c r="G189" t="s">
        <v>375</v>
      </c>
    </row>
    <row r="190" spans="1:7" x14ac:dyDescent="0.25">
      <c r="A190">
        <v>5914247790</v>
      </c>
      <c r="B190" t="s">
        <v>376</v>
      </c>
      <c r="C190" t="str">
        <f>"17951984395011992"</f>
        <v>17951984395011992</v>
      </c>
      <c r="D190" t="s">
        <v>377</v>
      </c>
      <c r="E190" t="s">
        <v>378</v>
      </c>
      <c r="F190" t="s">
        <v>379</v>
      </c>
      <c r="G190" t="s">
        <v>380</v>
      </c>
    </row>
    <row r="191" spans="1:7" x14ac:dyDescent="0.25">
      <c r="A191">
        <v>5914247790</v>
      </c>
      <c r="B191" t="s">
        <v>376</v>
      </c>
      <c r="C191" t="str">
        <f>"17951984395011992"</f>
        <v>17951984395011992</v>
      </c>
      <c r="D191" t="s">
        <v>377</v>
      </c>
      <c r="E191" t="s">
        <v>378</v>
      </c>
      <c r="F191" t="s">
        <v>379</v>
      </c>
      <c r="G191" t="s">
        <v>380</v>
      </c>
    </row>
    <row r="192" spans="1:7" x14ac:dyDescent="0.25">
      <c r="A192">
        <v>4836909792</v>
      </c>
      <c r="B192" t="s">
        <v>381</v>
      </c>
      <c r="C192" t="str">
        <f>"17942883880013633"</f>
        <v>17942883880013633</v>
      </c>
      <c r="D192" t="s">
        <v>382</v>
      </c>
      <c r="E192" t="s">
        <v>383</v>
      </c>
      <c r="F192" t="s">
        <v>384</v>
      </c>
      <c r="G192" t="s">
        <v>385</v>
      </c>
    </row>
    <row r="193" spans="1:7" x14ac:dyDescent="0.25">
      <c r="A193">
        <v>4358632260</v>
      </c>
      <c r="B193" t="s">
        <v>386</v>
      </c>
      <c r="C193" t="str">
        <f>"17945807476058737"</f>
        <v>17945807476058737</v>
      </c>
      <c r="D193" t="s">
        <v>387</v>
      </c>
      <c r="E193" t="s">
        <v>388</v>
      </c>
      <c r="F193" t="s">
        <v>389</v>
      </c>
      <c r="G193" t="s">
        <v>390</v>
      </c>
    </row>
    <row r="194" spans="1:7" x14ac:dyDescent="0.25">
      <c r="A194">
        <v>4358632260</v>
      </c>
      <c r="B194" t="s">
        <v>386</v>
      </c>
      <c r="C194" t="str">
        <f>"17945807476058737"</f>
        <v>17945807476058737</v>
      </c>
      <c r="D194" t="s">
        <v>387</v>
      </c>
      <c r="E194" t="s">
        <v>388</v>
      </c>
      <c r="F194" t="s">
        <v>389</v>
      </c>
      <c r="G194" t="s">
        <v>390</v>
      </c>
    </row>
    <row r="195" spans="1:7" x14ac:dyDescent="0.25">
      <c r="A195">
        <v>3004917876</v>
      </c>
      <c r="B195" t="s">
        <v>391</v>
      </c>
      <c r="C195" t="str">
        <f>"17851982005098126"</f>
        <v>17851982005098126</v>
      </c>
      <c r="D195" t="s">
        <v>392</v>
      </c>
      <c r="E195" t="s">
        <v>393</v>
      </c>
      <c r="F195" t="s">
        <v>394</v>
      </c>
      <c r="G195" t="s">
        <v>395</v>
      </c>
    </row>
    <row r="196" spans="1:7" x14ac:dyDescent="0.25">
      <c r="A196">
        <v>1510101214</v>
      </c>
      <c r="B196" t="s">
        <v>396</v>
      </c>
      <c r="C196" t="str">
        <f>"17852040109098126"</f>
        <v>17852040109098126</v>
      </c>
      <c r="D196" t="s">
        <v>397</v>
      </c>
      <c r="E196" t="s">
        <v>398</v>
      </c>
      <c r="F196" t="s">
        <v>399</v>
      </c>
      <c r="G196" t="s">
        <v>400</v>
      </c>
    </row>
    <row r="197" spans="1:7" x14ac:dyDescent="0.25">
      <c r="A197">
        <v>3004917876</v>
      </c>
      <c r="B197" t="s">
        <v>391</v>
      </c>
      <c r="C197" t="str">
        <f>"17851982005098126"</f>
        <v>17851982005098126</v>
      </c>
      <c r="D197" t="s">
        <v>392</v>
      </c>
      <c r="E197" t="s">
        <v>393</v>
      </c>
      <c r="F197" t="s">
        <v>394</v>
      </c>
      <c r="G197" t="s">
        <v>395</v>
      </c>
    </row>
    <row r="198" spans="1:7" x14ac:dyDescent="0.25">
      <c r="A198">
        <v>1510101214</v>
      </c>
      <c r="B198" t="s">
        <v>396</v>
      </c>
      <c r="C198" t="str">
        <f>"17852040109098126"</f>
        <v>17852040109098126</v>
      </c>
      <c r="D198" t="s">
        <v>397</v>
      </c>
      <c r="E198" t="s">
        <v>398</v>
      </c>
      <c r="F198" t="s">
        <v>399</v>
      </c>
      <c r="G198" t="s">
        <v>400</v>
      </c>
    </row>
    <row r="199" spans="1:7" x14ac:dyDescent="0.25">
      <c r="A199">
        <v>32344080</v>
      </c>
      <c r="B199" t="s">
        <v>401</v>
      </c>
      <c r="C199" t="str">
        <f>"17862045100057117"</f>
        <v>17862045100057117</v>
      </c>
      <c r="D199" t="s">
        <v>207</v>
      </c>
      <c r="E199" t="s">
        <v>402</v>
      </c>
      <c r="F199" t="s">
        <v>403</v>
      </c>
      <c r="G199" t="s">
        <v>404</v>
      </c>
    </row>
    <row r="200" spans="1:7" x14ac:dyDescent="0.25">
      <c r="A200">
        <v>1541579547</v>
      </c>
      <c r="B200" t="s">
        <v>405</v>
      </c>
      <c r="C200" t="str">
        <f>"17862058579057117"</f>
        <v>17862058579057117</v>
      </c>
      <c r="D200" t="s">
        <v>406</v>
      </c>
      <c r="E200" t="s">
        <v>407</v>
      </c>
      <c r="F200" t="s">
        <v>408</v>
      </c>
      <c r="G200" t="s">
        <v>409</v>
      </c>
    </row>
    <row r="201" spans="1:7" x14ac:dyDescent="0.25">
      <c r="A201">
        <v>32344080</v>
      </c>
      <c r="B201" t="s">
        <v>401</v>
      </c>
      <c r="C201" t="str">
        <f>"17862045100057117"</f>
        <v>17862045100057117</v>
      </c>
      <c r="D201" t="s">
        <v>207</v>
      </c>
      <c r="E201" t="s">
        <v>402</v>
      </c>
      <c r="F201" t="s">
        <v>403</v>
      </c>
      <c r="G201" t="s">
        <v>404</v>
      </c>
    </row>
    <row r="202" spans="1:7" x14ac:dyDescent="0.25">
      <c r="A202">
        <v>1541579547</v>
      </c>
      <c r="B202" t="s">
        <v>405</v>
      </c>
      <c r="C202" t="str">
        <f>"17862058579057117"</f>
        <v>17862058579057117</v>
      </c>
      <c r="D202" t="s">
        <v>406</v>
      </c>
      <c r="E202" t="s">
        <v>407</v>
      </c>
      <c r="F202" t="s">
        <v>408</v>
      </c>
      <c r="G202" t="s">
        <v>409</v>
      </c>
    </row>
    <row r="203" spans="1:7" x14ac:dyDescent="0.25">
      <c r="A203">
        <v>1490588437</v>
      </c>
      <c r="B203" t="s">
        <v>410</v>
      </c>
      <c r="C203" t="str">
        <f>"17861128039035126"</f>
        <v>17861128039035126</v>
      </c>
      <c r="D203" t="s">
        <v>411</v>
      </c>
      <c r="E203" t="s">
        <v>412</v>
      </c>
      <c r="F203" t="s">
        <v>413</v>
      </c>
      <c r="G203" t="s">
        <v>414</v>
      </c>
    </row>
    <row r="204" spans="1:7" x14ac:dyDescent="0.25">
      <c r="A204">
        <v>1472068088</v>
      </c>
      <c r="B204" t="s">
        <v>415</v>
      </c>
      <c r="C204" t="str">
        <f>"17861139595035126"</f>
        <v>17861139595035126</v>
      </c>
      <c r="D204" t="s">
        <v>416</v>
      </c>
      <c r="E204" t="s">
        <v>417</v>
      </c>
      <c r="F204" t="s">
        <v>418</v>
      </c>
      <c r="G204" t="s">
        <v>419</v>
      </c>
    </row>
    <row r="205" spans="1:7" x14ac:dyDescent="0.25">
      <c r="A205">
        <v>1490588437</v>
      </c>
      <c r="B205" t="s">
        <v>410</v>
      </c>
      <c r="C205" t="str">
        <f>"17861128039035126"</f>
        <v>17861128039035126</v>
      </c>
      <c r="D205" t="s">
        <v>411</v>
      </c>
      <c r="E205" t="s">
        <v>412</v>
      </c>
      <c r="F205" t="s">
        <v>413</v>
      </c>
      <c r="G205" t="s">
        <v>414</v>
      </c>
    </row>
    <row r="206" spans="1:7" x14ac:dyDescent="0.25">
      <c r="A206">
        <v>1472068088</v>
      </c>
      <c r="B206" t="s">
        <v>415</v>
      </c>
      <c r="C206" t="str">
        <f>"17861139595035126"</f>
        <v>17861139595035126</v>
      </c>
      <c r="D206" t="s">
        <v>416</v>
      </c>
      <c r="E206" t="s">
        <v>417</v>
      </c>
      <c r="F206" t="s">
        <v>418</v>
      </c>
      <c r="G206" t="s">
        <v>419</v>
      </c>
    </row>
    <row r="207" spans="1:7" x14ac:dyDescent="0.25">
      <c r="A207">
        <v>2024752858</v>
      </c>
      <c r="B207" t="s">
        <v>420</v>
      </c>
      <c r="C207" t="str">
        <f>"17851896211098858"</f>
        <v>17851896211098858</v>
      </c>
      <c r="D207" t="s">
        <v>421</v>
      </c>
      <c r="E207" t="s">
        <v>422</v>
      </c>
      <c r="F207" t="s">
        <v>423</v>
      </c>
      <c r="G207" t="s">
        <v>424</v>
      </c>
    </row>
    <row r="208" spans="1:7" x14ac:dyDescent="0.25">
      <c r="A208">
        <v>2024752858</v>
      </c>
      <c r="B208" t="s">
        <v>420</v>
      </c>
      <c r="C208" t="str">
        <f>"17851896211098858"</f>
        <v>17851896211098858</v>
      </c>
      <c r="D208" t="s">
        <v>421</v>
      </c>
      <c r="E208" t="s">
        <v>422</v>
      </c>
      <c r="F208" t="s">
        <v>423</v>
      </c>
      <c r="G208" t="s">
        <v>424</v>
      </c>
    </row>
    <row r="209" spans="1:7" x14ac:dyDescent="0.25">
      <c r="A209">
        <v>467410114</v>
      </c>
      <c r="B209" t="s">
        <v>425</v>
      </c>
      <c r="C209" t="str">
        <f>"17855632240070159"</f>
        <v>17855632240070159</v>
      </c>
      <c r="D209" t="s">
        <v>426</v>
      </c>
      <c r="E209" t="s">
        <v>427</v>
      </c>
      <c r="F209" t="s">
        <v>428</v>
      </c>
      <c r="G209" t="s">
        <v>429</v>
      </c>
    </row>
    <row r="210" spans="1:7" x14ac:dyDescent="0.25">
      <c r="A210">
        <v>3677979934</v>
      </c>
      <c r="B210" t="s">
        <v>430</v>
      </c>
      <c r="C210" t="str">
        <f>"17855632621070159"</f>
        <v>17855632621070159</v>
      </c>
      <c r="D210" t="s">
        <v>431</v>
      </c>
      <c r="E210" t="s">
        <v>432</v>
      </c>
      <c r="F210" t="s">
        <v>433</v>
      </c>
      <c r="G210" t="s">
        <v>434</v>
      </c>
    </row>
    <row r="211" spans="1:7" x14ac:dyDescent="0.25">
      <c r="A211">
        <v>467410114</v>
      </c>
      <c r="B211" t="s">
        <v>425</v>
      </c>
      <c r="C211" t="str">
        <f>"17855632705070159"</f>
        <v>17855632705070159</v>
      </c>
      <c r="D211" t="s">
        <v>435</v>
      </c>
      <c r="E211" t="s">
        <v>436</v>
      </c>
      <c r="F211" t="s">
        <v>428</v>
      </c>
      <c r="G211" t="s">
        <v>429</v>
      </c>
    </row>
    <row r="212" spans="1:7" x14ac:dyDescent="0.25">
      <c r="A212">
        <v>467410114</v>
      </c>
      <c r="B212" t="s">
        <v>425</v>
      </c>
      <c r="C212" t="str">
        <f>"17855632240070159"</f>
        <v>17855632240070159</v>
      </c>
      <c r="D212" t="s">
        <v>426</v>
      </c>
      <c r="E212" t="s">
        <v>427</v>
      </c>
      <c r="F212" t="s">
        <v>428</v>
      </c>
      <c r="G212" t="s">
        <v>437</v>
      </c>
    </row>
    <row r="213" spans="1:7" x14ac:dyDescent="0.25">
      <c r="A213">
        <v>3677979934</v>
      </c>
      <c r="B213" t="s">
        <v>430</v>
      </c>
      <c r="C213" t="str">
        <f>"17855632621070159"</f>
        <v>17855632621070159</v>
      </c>
      <c r="D213" t="s">
        <v>431</v>
      </c>
      <c r="E213" t="s">
        <v>432</v>
      </c>
      <c r="F213" t="s">
        <v>433</v>
      </c>
      <c r="G213" t="s">
        <v>438</v>
      </c>
    </row>
    <row r="214" spans="1:7" x14ac:dyDescent="0.25">
      <c r="A214">
        <v>467410114</v>
      </c>
      <c r="B214" t="s">
        <v>425</v>
      </c>
      <c r="C214" t="str">
        <f>"17855632705070159"</f>
        <v>17855632705070159</v>
      </c>
      <c r="D214" t="s">
        <v>435</v>
      </c>
      <c r="E214" t="s">
        <v>436</v>
      </c>
      <c r="F214" t="s">
        <v>428</v>
      </c>
      <c r="G214" t="s">
        <v>437</v>
      </c>
    </row>
    <row r="215" spans="1:7" x14ac:dyDescent="0.25">
      <c r="A215">
        <v>467410114</v>
      </c>
      <c r="B215" t="s">
        <v>425</v>
      </c>
      <c r="C215" t="str">
        <f>"17855632240070159"</f>
        <v>17855632240070159</v>
      </c>
      <c r="D215" t="s">
        <v>426</v>
      </c>
      <c r="E215" t="s">
        <v>427</v>
      </c>
      <c r="F215" t="s">
        <v>428</v>
      </c>
      <c r="G215" t="s">
        <v>429</v>
      </c>
    </row>
    <row r="216" spans="1:7" x14ac:dyDescent="0.25">
      <c r="A216">
        <v>3677979934</v>
      </c>
      <c r="B216" t="s">
        <v>430</v>
      </c>
      <c r="C216" t="str">
        <f>"17855632621070159"</f>
        <v>17855632621070159</v>
      </c>
      <c r="D216" t="s">
        <v>431</v>
      </c>
      <c r="E216" t="s">
        <v>432</v>
      </c>
      <c r="F216" t="s">
        <v>433</v>
      </c>
      <c r="G216" t="s">
        <v>434</v>
      </c>
    </row>
    <row r="217" spans="1:7" x14ac:dyDescent="0.25">
      <c r="A217">
        <v>467410114</v>
      </c>
      <c r="B217" t="s">
        <v>425</v>
      </c>
      <c r="C217" t="str">
        <f>"17855632705070159"</f>
        <v>17855632705070159</v>
      </c>
      <c r="D217" t="s">
        <v>435</v>
      </c>
      <c r="E217" t="s">
        <v>436</v>
      </c>
      <c r="F217" t="s">
        <v>428</v>
      </c>
      <c r="G217" t="s">
        <v>429</v>
      </c>
    </row>
    <row r="218" spans="1:7" x14ac:dyDescent="0.25">
      <c r="A218">
        <v>2095462777</v>
      </c>
      <c r="B218" t="s">
        <v>439</v>
      </c>
      <c r="C218" t="str">
        <f>"17851868758120169"</f>
        <v>17851868758120169</v>
      </c>
      <c r="D218" t="s">
        <v>440</v>
      </c>
      <c r="E218" t="s">
        <v>441</v>
      </c>
      <c r="F218" t="s">
        <v>442</v>
      </c>
      <c r="G218" t="s">
        <v>443</v>
      </c>
    </row>
    <row r="219" spans="1:7" x14ac:dyDescent="0.25">
      <c r="A219">
        <v>3673185604</v>
      </c>
      <c r="B219" t="s">
        <v>444</v>
      </c>
      <c r="C219" t="str">
        <f>"17851880488120169"</f>
        <v>17851880488120169</v>
      </c>
      <c r="D219" t="s">
        <v>445</v>
      </c>
      <c r="E219" t="s">
        <v>446</v>
      </c>
      <c r="F219" t="s">
        <v>447</v>
      </c>
      <c r="G219" t="s">
        <v>448</v>
      </c>
    </row>
    <row r="220" spans="1:7" x14ac:dyDescent="0.25">
      <c r="A220">
        <v>2095462777</v>
      </c>
      <c r="B220" t="s">
        <v>439</v>
      </c>
      <c r="C220" t="str">
        <f>"17851868758120169"</f>
        <v>17851868758120169</v>
      </c>
      <c r="D220" t="s">
        <v>440</v>
      </c>
      <c r="E220" t="s">
        <v>441</v>
      </c>
      <c r="F220" t="s">
        <v>442</v>
      </c>
      <c r="G220" t="s">
        <v>443</v>
      </c>
    </row>
    <row r="221" spans="1:7" x14ac:dyDescent="0.25">
      <c r="A221">
        <v>3673185604</v>
      </c>
      <c r="B221" t="s">
        <v>444</v>
      </c>
      <c r="C221" t="str">
        <f>"17851880488120169"</f>
        <v>17851880488120169</v>
      </c>
      <c r="D221" t="s">
        <v>445</v>
      </c>
      <c r="E221" t="s">
        <v>446</v>
      </c>
      <c r="F221" t="s">
        <v>447</v>
      </c>
      <c r="G221" t="s">
        <v>448</v>
      </c>
    </row>
    <row r="222" spans="1:7" x14ac:dyDescent="0.25">
      <c r="A222">
        <v>22651502</v>
      </c>
      <c r="B222" t="s">
        <v>449</v>
      </c>
      <c r="C222" t="str">
        <f>"17944372960079363"</f>
        <v>17944372960079363</v>
      </c>
      <c r="D222" t="s">
        <v>450</v>
      </c>
      <c r="E222" t="s">
        <v>451</v>
      </c>
      <c r="F222" t="s">
        <v>452</v>
      </c>
      <c r="G222" t="s">
        <v>453</v>
      </c>
    </row>
    <row r="223" spans="1:7" x14ac:dyDescent="0.25">
      <c r="A223">
        <v>22651502</v>
      </c>
      <c r="B223" t="s">
        <v>449</v>
      </c>
      <c r="C223" t="str">
        <f>"17944372960079363"</f>
        <v>17944372960079363</v>
      </c>
      <c r="D223" t="s">
        <v>450</v>
      </c>
      <c r="E223" t="s">
        <v>451</v>
      </c>
      <c r="F223" t="s">
        <v>452</v>
      </c>
      <c r="G223" t="s">
        <v>453</v>
      </c>
    </row>
    <row r="224" spans="1:7" x14ac:dyDescent="0.25">
      <c r="A224">
        <v>3675966572</v>
      </c>
      <c r="B224" t="s">
        <v>454</v>
      </c>
      <c r="C224" t="str">
        <f>"17860221004019337"</f>
        <v>17860221004019337</v>
      </c>
      <c r="D224" t="s">
        <v>455</v>
      </c>
      <c r="E224" t="s">
        <v>456</v>
      </c>
      <c r="F224" t="s">
        <v>457</v>
      </c>
      <c r="G224" t="s">
        <v>458</v>
      </c>
    </row>
    <row r="225" spans="1:7" x14ac:dyDescent="0.25">
      <c r="A225">
        <v>3620745947</v>
      </c>
      <c r="B225" t="s">
        <v>459</v>
      </c>
      <c r="C225" t="str">
        <f>"17860264270019337"</f>
        <v>17860264270019337</v>
      </c>
      <c r="D225" t="s">
        <v>460</v>
      </c>
      <c r="E225" t="s">
        <v>461</v>
      </c>
      <c r="F225" t="s">
        <v>462</v>
      </c>
      <c r="G225" t="s">
        <v>463</v>
      </c>
    </row>
    <row r="226" spans="1:7" x14ac:dyDescent="0.25">
      <c r="A226">
        <v>3675966572</v>
      </c>
      <c r="B226" t="s">
        <v>454</v>
      </c>
      <c r="C226" t="str">
        <f>"17860221004019337"</f>
        <v>17860221004019337</v>
      </c>
      <c r="D226" t="s">
        <v>455</v>
      </c>
      <c r="E226" t="s">
        <v>456</v>
      </c>
      <c r="F226" t="s">
        <v>457</v>
      </c>
      <c r="G226" t="s">
        <v>458</v>
      </c>
    </row>
    <row r="227" spans="1:7" x14ac:dyDescent="0.25">
      <c r="A227">
        <v>3620745947</v>
      </c>
      <c r="B227" t="s">
        <v>459</v>
      </c>
      <c r="C227" t="str">
        <f>"17860264270019337"</f>
        <v>17860264270019337</v>
      </c>
      <c r="D227" t="s">
        <v>460</v>
      </c>
      <c r="E227" t="s">
        <v>461</v>
      </c>
      <c r="F227" t="s">
        <v>462</v>
      </c>
      <c r="G227" t="s">
        <v>463</v>
      </c>
    </row>
    <row r="228" spans="1:7" x14ac:dyDescent="0.25">
      <c r="A228">
        <v>1654429398</v>
      </c>
      <c r="B228" t="s">
        <v>464</v>
      </c>
      <c r="C228" t="str">
        <f>"17860470931002715"</f>
        <v>17860470931002715</v>
      </c>
      <c r="D228" t="s">
        <v>465</v>
      </c>
      <c r="E228" t="s">
        <v>466</v>
      </c>
      <c r="F228" t="s">
        <v>467</v>
      </c>
      <c r="G228" t="s">
        <v>468</v>
      </c>
    </row>
    <row r="229" spans="1:7" x14ac:dyDescent="0.25">
      <c r="A229">
        <v>3620745947</v>
      </c>
      <c r="B229" t="s">
        <v>459</v>
      </c>
      <c r="C229" t="str">
        <f>"17860581589002715"</f>
        <v>17860581589002715</v>
      </c>
      <c r="D229" t="s">
        <v>152</v>
      </c>
      <c r="E229" t="s">
        <v>469</v>
      </c>
      <c r="F229" t="s">
        <v>462</v>
      </c>
      <c r="G229" t="s">
        <v>470</v>
      </c>
    </row>
    <row r="230" spans="1:7" x14ac:dyDescent="0.25">
      <c r="A230">
        <v>1654429398</v>
      </c>
      <c r="B230" t="s">
        <v>464</v>
      </c>
      <c r="C230" t="str">
        <f>"17860470931002715"</f>
        <v>17860470931002715</v>
      </c>
      <c r="D230" t="s">
        <v>465</v>
      </c>
      <c r="E230" t="s">
        <v>466</v>
      </c>
      <c r="F230" t="s">
        <v>467</v>
      </c>
      <c r="G230" t="s">
        <v>468</v>
      </c>
    </row>
    <row r="231" spans="1:7" x14ac:dyDescent="0.25">
      <c r="A231">
        <v>3620745947</v>
      </c>
      <c r="B231" t="s">
        <v>459</v>
      </c>
      <c r="C231" t="str">
        <f>"17860581589002715"</f>
        <v>17860581589002715</v>
      </c>
      <c r="D231" t="s">
        <v>152</v>
      </c>
      <c r="E231" t="s">
        <v>469</v>
      </c>
      <c r="F231" t="s">
        <v>462</v>
      </c>
      <c r="G231" t="s">
        <v>470</v>
      </c>
    </row>
    <row r="232" spans="1:7" x14ac:dyDescent="0.25">
      <c r="A232">
        <v>202982060</v>
      </c>
      <c r="B232" t="s">
        <v>471</v>
      </c>
      <c r="C232" t="str">
        <f>"17861228509051192"</f>
        <v>17861228509051192</v>
      </c>
      <c r="D232" t="s">
        <v>371</v>
      </c>
      <c r="E232" t="s">
        <v>472</v>
      </c>
      <c r="F232" t="s">
        <v>473</v>
      </c>
      <c r="G232" t="s">
        <v>474</v>
      </c>
    </row>
    <row r="233" spans="1:7" x14ac:dyDescent="0.25">
      <c r="A233">
        <v>3079613659</v>
      </c>
      <c r="B233" t="s">
        <v>475</v>
      </c>
      <c r="C233" t="str">
        <f>"17861313865051192"</f>
        <v>17861313865051192</v>
      </c>
      <c r="D233" t="s">
        <v>476</v>
      </c>
      <c r="E233" t="s">
        <v>477</v>
      </c>
      <c r="F233" t="s">
        <v>478</v>
      </c>
      <c r="G233" t="s">
        <v>479</v>
      </c>
    </row>
    <row r="234" spans="1:7" x14ac:dyDescent="0.25">
      <c r="A234">
        <v>202982060</v>
      </c>
      <c r="B234" t="s">
        <v>471</v>
      </c>
      <c r="C234" t="str">
        <f>"17861228509051192"</f>
        <v>17861228509051192</v>
      </c>
      <c r="D234" t="s">
        <v>371</v>
      </c>
      <c r="E234" t="s">
        <v>472</v>
      </c>
      <c r="F234" t="s">
        <v>473</v>
      </c>
      <c r="G234" t="s">
        <v>474</v>
      </c>
    </row>
    <row r="235" spans="1:7" x14ac:dyDescent="0.25">
      <c r="A235">
        <v>3079613659</v>
      </c>
      <c r="B235" t="s">
        <v>475</v>
      </c>
      <c r="C235" t="str">
        <f>"17861313865051192"</f>
        <v>17861313865051192</v>
      </c>
      <c r="D235" t="s">
        <v>476</v>
      </c>
      <c r="E235" t="s">
        <v>477</v>
      </c>
      <c r="F235" t="s">
        <v>478</v>
      </c>
      <c r="G235" t="s">
        <v>479</v>
      </c>
    </row>
    <row r="236" spans="1:7" x14ac:dyDescent="0.25">
      <c r="A236">
        <v>1581851962</v>
      </c>
      <c r="B236" t="s">
        <v>480</v>
      </c>
      <c r="C236" t="str">
        <f>"17851888315106795"</f>
        <v>17851888315106795</v>
      </c>
      <c r="D236" t="s">
        <v>481</v>
      </c>
      <c r="E236" t="s">
        <v>482</v>
      </c>
      <c r="F236" t="s">
        <v>483</v>
      </c>
      <c r="G236" t="s">
        <v>484</v>
      </c>
    </row>
    <row r="237" spans="1:7" x14ac:dyDescent="0.25">
      <c r="A237">
        <v>289100120</v>
      </c>
      <c r="B237" t="s">
        <v>485</v>
      </c>
      <c r="C237" t="str">
        <f>"17852388328106795"</f>
        <v>17852388328106795</v>
      </c>
      <c r="D237" t="s">
        <v>486</v>
      </c>
      <c r="E237" t="s">
        <v>487</v>
      </c>
      <c r="F237" t="s">
        <v>488</v>
      </c>
      <c r="G237" t="s">
        <v>489</v>
      </c>
    </row>
    <row r="238" spans="1:7" x14ac:dyDescent="0.25">
      <c r="A238">
        <v>1581851962</v>
      </c>
      <c r="B238" t="s">
        <v>480</v>
      </c>
      <c r="C238" t="str">
        <f>"17851888315106795"</f>
        <v>17851888315106795</v>
      </c>
      <c r="D238" t="s">
        <v>481</v>
      </c>
      <c r="E238" t="s">
        <v>482</v>
      </c>
      <c r="F238" t="s">
        <v>483</v>
      </c>
      <c r="G238" t="s">
        <v>484</v>
      </c>
    </row>
    <row r="239" spans="1:7" x14ac:dyDescent="0.25">
      <c r="A239">
        <v>289100120</v>
      </c>
      <c r="B239" t="s">
        <v>485</v>
      </c>
      <c r="C239" t="str">
        <f>"17852388328106795"</f>
        <v>17852388328106795</v>
      </c>
      <c r="D239" t="s">
        <v>486</v>
      </c>
      <c r="E239" t="s">
        <v>487</v>
      </c>
      <c r="F239" t="s">
        <v>488</v>
      </c>
      <c r="G239" t="s">
        <v>489</v>
      </c>
    </row>
    <row r="240" spans="1:7" x14ac:dyDescent="0.25">
      <c r="A240">
        <v>36058697</v>
      </c>
      <c r="B240" t="s">
        <v>490</v>
      </c>
      <c r="C240" t="str">
        <f>"17851937353102575"</f>
        <v>17851937353102575</v>
      </c>
      <c r="D240" t="s">
        <v>491</v>
      </c>
      <c r="E240" t="s">
        <v>492</v>
      </c>
      <c r="F240" t="s">
        <v>493</v>
      </c>
      <c r="G240" t="s">
        <v>494</v>
      </c>
    </row>
    <row r="241" spans="1:7" x14ac:dyDescent="0.25">
      <c r="A241">
        <v>1992492136</v>
      </c>
      <c r="B241" t="s">
        <v>495</v>
      </c>
      <c r="C241" t="str">
        <f>"17851949374102575"</f>
        <v>17851949374102575</v>
      </c>
      <c r="D241" t="s">
        <v>496</v>
      </c>
      <c r="E241" t="s">
        <v>497</v>
      </c>
      <c r="F241" t="s">
        <v>498</v>
      </c>
      <c r="G241" t="s">
        <v>499</v>
      </c>
    </row>
    <row r="242" spans="1:7" x14ac:dyDescent="0.25">
      <c r="A242">
        <v>1587002697</v>
      </c>
      <c r="B242" t="s">
        <v>500</v>
      </c>
      <c r="C242" t="str">
        <f>"17851951780102575"</f>
        <v>17851951780102575</v>
      </c>
      <c r="D242" t="s">
        <v>501</v>
      </c>
      <c r="E242" t="s">
        <v>502</v>
      </c>
      <c r="F242" t="s">
        <v>503</v>
      </c>
      <c r="G242" t="s">
        <v>504</v>
      </c>
    </row>
    <row r="243" spans="1:7" x14ac:dyDescent="0.25">
      <c r="A243">
        <v>36058697</v>
      </c>
      <c r="B243" t="s">
        <v>490</v>
      </c>
      <c r="C243" t="str">
        <f>"17851937353102575"</f>
        <v>17851937353102575</v>
      </c>
      <c r="D243" t="s">
        <v>491</v>
      </c>
      <c r="E243" t="s">
        <v>492</v>
      </c>
      <c r="F243" t="s">
        <v>493</v>
      </c>
      <c r="G243" t="s">
        <v>505</v>
      </c>
    </row>
    <row r="244" spans="1:7" x14ac:dyDescent="0.25">
      <c r="A244">
        <v>1992492136</v>
      </c>
      <c r="B244" t="s">
        <v>495</v>
      </c>
      <c r="C244" t="str">
        <f>"17851949374102575"</f>
        <v>17851949374102575</v>
      </c>
      <c r="D244" t="s">
        <v>496</v>
      </c>
      <c r="E244" t="s">
        <v>497</v>
      </c>
      <c r="F244" t="s">
        <v>498</v>
      </c>
      <c r="G244" t="s">
        <v>506</v>
      </c>
    </row>
    <row r="245" spans="1:7" x14ac:dyDescent="0.25">
      <c r="A245">
        <v>1587002697</v>
      </c>
      <c r="B245" t="s">
        <v>500</v>
      </c>
      <c r="C245" t="str">
        <f>"17851951780102575"</f>
        <v>17851951780102575</v>
      </c>
      <c r="D245" t="s">
        <v>501</v>
      </c>
      <c r="E245" t="s">
        <v>502</v>
      </c>
      <c r="F245" t="s">
        <v>503</v>
      </c>
      <c r="G245" t="s">
        <v>507</v>
      </c>
    </row>
    <row r="246" spans="1:7" x14ac:dyDescent="0.25">
      <c r="A246">
        <v>36058697</v>
      </c>
      <c r="B246" t="s">
        <v>490</v>
      </c>
      <c r="C246" t="str">
        <f>"17851937353102575"</f>
        <v>17851937353102575</v>
      </c>
      <c r="D246" t="s">
        <v>491</v>
      </c>
      <c r="E246" t="s">
        <v>492</v>
      </c>
      <c r="F246" t="s">
        <v>493</v>
      </c>
      <c r="G246" t="s">
        <v>494</v>
      </c>
    </row>
    <row r="247" spans="1:7" x14ac:dyDescent="0.25">
      <c r="A247">
        <v>1992492136</v>
      </c>
      <c r="B247" t="s">
        <v>495</v>
      </c>
      <c r="C247" t="str">
        <f>"17851949374102575"</f>
        <v>17851949374102575</v>
      </c>
      <c r="D247" t="s">
        <v>496</v>
      </c>
      <c r="E247" t="s">
        <v>497</v>
      </c>
      <c r="F247" t="s">
        <v>498</v>
      </c>
      <c r="G247" t="s">
        <v>499</v>
      </c>
    </row>
    <row r="248" spans="1:7" x14ac:dyDescent="0.25">
      <c r="A248">
        <v>1587002697</v>
      </c>
      <c r="B248" t="s">
        <v>500</v>
      </c>
      <c r="C248" t="str">
        <f>"17851951780102575"</f>
        <v>17851951780102575</v>
      </c>
      <c r="D248" t="s">
        <v>501</v>
      </c>
      <c r="E248" t="s">
        <v>502</v>
      </c>
      <c r="F248" t="s">
        <v>503</v>
      </c>
      <c r="G248" t="s">
        <v>504</v>
      </c>
    </row>
    <row r="249" spans="1:7" x14ac:dyDescent="0.25">
      <c r="A249">
        <v>3675966572</v>
      </c>
      <c r="B249" t="s">
        <v>454</v>
      </c>
      <c r="C249" t="str">
        <f>"17860645129039199"</f>
        <v>17860645129039199</v>
      </c>
      <c r="D249" t="s">
        <v>508</v>
      </c>
      <c r="E249" t="s">
        <v>509</v>
      </c>
      <c r="F249" t="s">
        <v>457</v>
      </c>
      <c r="G249" t="s">
        <v>510</v>
      </c>
    </row>
    <row r="250" spans="1:7" x14ac:dyDescent="0.25">
      <c r="A250">
        <v>3675966572</v>
      </c>
      <c r="B250" t="s">
        <v>454</v>
      </c>
      <c r="C250" t="str">
        <f>"17860645129039199"</f>
        <v>17860645129039199</v>
      </c>
      <c r="D250" t="s">
        <v>508</v>
      </c>
      <c r="E250" t="s">
        <v>509</v>
      </c>
      <c r="F250" t="s">
        <v>457</v>
      </c>
      <c r="G250" t="s">
        <v>511</v>
      </c>
    </row>
    <row r="251" spans="1:7" x14ac:dyDescent="0.25">
      <c r="A251">
        <v>3675966572</v>
      </c>
      <c r="B251" t="s">
        <v>454</v>
      </c>
      <c r="C251" t="str">
        <f>"17860645129039199"</f>
        <v>17860645129039199</v>
      </c>
      <c r="D251" t="s">
        <v>508</v>
      </c>
      <c r="E251" t="s">
        <v>509</v>
      </c>
      <c r="F251" t="s">
        <v>457</v>
      </c>
      <c r="G251" t="s">
        <v>510</v>
      </c>
    </row>
    <row r="252" spans="1:7" x14ac:dyDescent="0.25">
      <c r="A252">
        <v>1562896576</v>
      </c>
      <c r="B252" t="s">
        <v>512</v>
      </c>
      <c r="C252" t="str">
        <f>"17958605407103674"</f>
        <v>17958605407103674</v>
      </c>
      <c r="D252" t="s">
        <v>513</v>
      </c>
      <c r="E252" t="s">
        <v>514</v>
      </c>
      <c r="F252" t="s">
        <v>515</v>
      </c>
      <c r="G252" t="s">
        <v>516</v>
      </c>
    </row>
    <row r="253" spans="1:7" x14ac:dyDescent="0.25">
      <c r="A253">
        <v>1562896576</v>
      </c>
      <c r="B253" t="s">
        <v>512</v>
      </c>
      <c r="C253" t="str">
        <f>"17958605407103674"</f>
        <v>17958605407103674</v>
      </c>
      <c r="D253" t="s">
        <v>513</v>
      </c>
      <c r="E253" t="s">
        <v>514</v>
      </c>
      <c r="F253" t="s">
        <v>515</v>
      </c>
      <c r="G253" t="s">
        <v>516</v>
      </c>
    </row>
    <row r="254" spans="1:7" x14ac:dyDescent="0.25">
      <c r="A254">
        <v>316320700</v>
      </c>
      <c r="B254" t="s">
        <v>517</v>
      </c>
      <c r="C254" t="str">
        <f>"17851279678104932"</f>
        <v>17851279678104932</v>
      </c>
      <c r="D254" t="s">
        <v>518</v>
      </c>
      <c r="E254" t="s">
        <v>519</v>
      </c>
      <c r="F254" t="s">
        <v>520</v>
      </c>
      <c r="G254" t="s">
        <v>521</v>
      </c>
    </row>
    <row r="255" spans="1:7" x14ac:dyDescent="0.25">
      <c r="A255">
        <v>2036586556</v>
      </c>
      <c r="B255" t="s">
        <v>522</v>
      </c>
      <c r="C255" t="str">
        <f>"17853272872104932"</f>
        <v>17853272872104932</v>
      </c>
      <c r="D255" t="s">
        <v>523</v>
      </c>
      <c r="E255" t="s">
        <v>524</v>
      </c>
      <c r="F255" t="s">
        <v>525</v>
      </c>
      <c r="G255" t="s">
        <v>526</v>
      </c>
    </row>
    <row r="256" spans="1:7" x14ac:dyDescent="0.25">
      <c r="A256">
        <v>316320700</v>
      </c>
      <c r="B256" t="s">
        <v>517</v>
      </c>
      <c r="C256" t="str">
        <f>"17851279678104932"</f>
        <v>17851279678104932</v>
      </c>
      <c r="D256" t="s">
        <v>518</v>
      </c>
      <c r="E256" t="s">
        <v>519</v>
      </c>
      <c r="F256" t="s">
        <v>520</v>
      </c>
      <c r="G256" t="s">
        <v>521</v>
      </c>
    </row>
    <row r="257" spans="1:7" x14ac:dyDescent="0.25">
      <c r="A257">
        <v>2036586556</v>
      </c>
      <c r="B257" t="s">
        <v>522</v>
      </c>
      <c r="C257" t="str">
        <f>"17853272872104932"</f>
        <v>17853272872104932</v>
      </c>
      <c r="D257" t="s">
        <v>523</v>
      </c>
      <c r="E257" t="s">
        <v>524</v>
      </c>
      <c r="F257" t="s">
        <v>525</v>
      </c>
      <c r="G257" t="s">
        <v>526</v>
      </c>
    </row>
    <row r="258" spans="1:7" x14ac:dyDescent="0.25">
      <c r="A258">
        <v>316320700</v>
      </c>
      <c r="B258" t="s">
        <v>517</v>
      </c>
      <c r="C258" t="str">
        <f>"17851279678104932"</f>
        <v>17851279678104932</v>
      </c>
      <c r="D258" t="s">
        <v>518</v>
      </c>
      <c r="E258" t="s">
        <v>519</v>
      </c>
      <c r="F258" t="s">
        <v>520</v>
      </c>
      <c r="G258" t="s">
        <v>521</v>
      </c>
    </row>
    <row r="259" spans="1:7" x14ac:dyDescent="0.25">
      <c r="A259">
        <v>2036586556</v>
      </c>
      <c r="B259" t="s">
        <v>522</v>
      </c>
      <c r="C259" t="str">
        <f>"17853272872104932"</f>
        <v>17853272872104932</v>
      </c>
      <c r="D259" t="s">
        <v>523</v>
      </c>
      <c r="E259" t="s">
        <v>524</v>
      </c>
      <c r="F259" t="s">
        <v>525</v>
      </c>
      <c r="G259" t="s">
        <v>526</v>
      </c>
    </row>
    <row r="260" spans="1:7" x14ac:dyDescent="0.25">
      <c r="A260">
        <v>1549494501</v>
      </c>
      <c r="B260" t="s">
        <v>527</v>
      </c>
      <c r="C260" t="str">
        <f>"17860722058026606"</f>
        <v>17860722058026606</v>
      </c>
      <c r="D260" t="s">
        <v>528</v>
      </c>
      <c r="E260" t="s">
        <v>529</v>
      </c>
      <c r="F260" t="s">
        <v>530</v>
      </c>
      <c r="G260" t="s">
        <v>531</v>
      </c>
    </row>
    <row r="261" spans="1:7" x14ac:dyDescent="0.25">
      <c r="A261">
        <v>1549494501</v>
      </c>
      <c r="B261" t="s">
        <v>527</v>
      </c>
      <c r="C261" t="str">
        <f>"17860722058026606"</f>
        <v>17860722058026606</v>
      </c>
      <c r="D261" t="s">
        <v>528</v>
      </c>
      <c r="E261" t="s">
        <v>529</v>
      </c>
      <c r="F261" t="s">
        <v>530</v>
      </c>
      <c r="G261" t="s">
        <v>531</v>
      </c>
    </row>
    <row r="262" spans="1:7" x14ac:dyDescent="0.25">
      <c r="A262">
        <v>7444545135</v>
      </c>
      <c r="B262" t="s">
        <v>532</v>
      </c>
      <c r="C262" t="str">
        <f>"17909333818194006"</f>
        <v>17909333818194006</v>
      </c>
      <c r="D262" t="s">
        <v>533</v>
      </c>
      <c r="E262" t="s">
        <v>534</v>
      </c>
      <c r="F262" t="s">
        <v>535</v>
      </c>
      <c r="G262" t="s">
        <v>536</v>
      </c>
    </row>
    <row r="263" spans="1:7" x14ac:dyDescent="0.25">
      <c r="A263">
        <v>7444545135</v>
      </c>
      <c r="B263" t="s">
        <v>532</v>
      </c>
      <c r="C263" t="str">
        <f>"17909333818194006"</f>
        <v>17909333818194006</v>
      </c>
      <c r="D263" t="s">
        <v>533</v>
      </c>
      <c r="E263" t="s">
        <v>534</v>
      </c>
      <c r="F263" t="s">
        <v>535</v>
      </c>
      <c r="G263" t="s">
        <v>536</v>
      </c>
    </row>
    <row r="264" spans="1:7" x14ac:dyDescent="0.25">
      <c r="A264">
        <v>774992</v>
      </c>
      <c r="B264" t="s">
        <v>537</v>
      </c>
      <c r="C264" t="str">
        <f>"17851491562095563"</f>
        <v>17851491562095563</v>
      </c>
      <c r="D264" t="s">
        <v>174</v>
      </c>
      <c r="E264" t="s">
        <v>538</v>
      </c>
      <c r="F264" t="s">
        <v>539</v>
      </c>
      <c r="G264" t="s">
        <v>540</v>
      </c>
    </row>
    <row r="265" spans="1:7" x14ac:dyDescent="0.25">
      <c r="A265">
        <v>1330044910</v>
      </c>
      <c r="B265" t="s">
        <v>541</v>
      </c>
      <c r="C265" t="str">
        <f>"17851541347095563"</f>
        <v>17851541347095563</v>
      </c>
      <c r="D265" t="s">
        <v>542</v>
      </c>
      <c r="E265" t="s">
        <v>543</v>
      </c>
      <c r="F265" t="s">
        <v>544</v>
      </c>
      <c r="G265" t="s">
        <v>545</v>
      </c>
    </row>
    <row r="266" spans="1:7" x14ac:dyDescent="0.25">
      <c r="A266">
        <v>774992</v>
      </c>
      <c r="B266" t="s">
        <v>537</v>
      </c>
      <c r="C266" t="str">
        <f>"17851491562095563"</f>
        <v>17851491562095563</v>
      </c>
      <c r="D266" t="s">
        <v>174</v>
      </c>
      <c r="E266" t="s">
        <v>538</v>
      </c>
      <c r="F266" t="s">
        <v>539</v>
      </c>
      <c r="G266" t="s">
        <v>546</v>
      </c>
    </row>
    <row r="267" spans="1:7" x14ac:dyDescent="0.25">
      <c r="A267">
        <v>1330044910</v>
      </c>
      <c r="B267" t="s">
        <v>541</v>
      </c>
      <c r="C267" t="str">
        <f>"17851541347095563"</f>
        <v>17851541347095563</v>
      </c>
      <c r="D267" t="s">
        <v>542</v>
      </c>
      <c r="E267" t="s">
        <v>543</v>
      </c>
      <c r="F267" t="s">
        <v>544</v>
      </c>
      <c r="G267" t="s">
        <v>547</v>
      </c>
    </row>
    <row r="268" spans="1:7" x14ac:dyDescent="0.25">
      <c r="A268">
        <v>774992</v>
      </c>
      <c r="B268" t="s">
        <v>537</v>
      </c>
      <c r="C268" t="str">
        <f>"17851491562095563"</f>
        <v>17851491562095563</v>
      </c>
      <c r="D268" t="s">
        <v>174</v>
      </c>
      <c r="E268" t="s">
        <v>538</v>
      </c>
      <c r="F268" t="s">
        <v>539</v>
      </c>
      <c r="G268" t="s">
        <v>540</v>
      </c>
    </row>
    <row r="269" spans="1:7" x14ac:dyDescent="0.25">
      <c r="A269">
        <v>1330044910</v>
      </c>
      <c r="B269" t="s">
        <v>541</v>
      </c>
      <c r="C269" t="str">
        <f>"17851541347095563"</f>
        <v>17851541347095563</v>
      </c>
      <c r="D269" t="s">
        <v>542</v>
      </c>
      <c r="E269" t="s">
        <v>543</v>
      </c>
      <c r="F269" t="s">
        <v>544</v>
      </c>
      <c r="G269" t="s">
        <v>545</v>
      </c>
    </row>
    <row r="270" spans="1:7" x14ac:dyDescent="0.25">
      <c r="A270">
        <v>3288821082</v>
      </c>
      <c r="B270" t="s">
        <v>548</v>
      </c>
      <c r="C270" t="str">
        <f>"17851777465125573"</f>
        <v>17851777465125573</v>
      </c>
      <c r="D270" t="s">
        <v>207</v>
      </c>
      <c r="E270" t="s">
        <v>549</v>
      </c>
      <c r="F270" t="s">
        <v>550</v>
      </c>
      <c r="G270" t="s">
        <v>551</v>
      </c>
    </row>
    <row r="271" spans="1:7" x14ac:dyDescent="0.25">
      <c r="A271">
        <v>1549494501</v>
      </c>
      <c r="B271" t="s">
        <v>527</v>
      </c>
      <c r="C271" t="str">
        <f>"17851284850116090"</f>
        <v>17851284850116090</v>
      </c>
      <c r="D271" t="s">
        <v>552</v>
      </c>
      <c r="E271" t="s">
        <v>553</v>
      </c>
      <c r="F271" t="s">
        <v>530</v>
      </c>
      <c r="G271" t="s">
        <v>554</v>
      </c>
    </row>
    <row r="272" spans="1:7" x14ac:dyDescent="0.25">
      <c r="A272">
        <v>1257791156</v>
      </c>
      <c r="B272" t="s">
        <v>555</v>
      </c>
      <c r="C272" t="str">
        <f>"17959835164082786"</f>
        <v>17959835164082786</v>
      </c>
      <c r="D272" t="s">
        <v>556</v>
      </c>
      <c r="E272" t="s">
        <v>557</v>
      </c>
      <c r="F272" t="s">
        <v>558</v>
      </c>
      <c r="G272" t="s">
        <v>559</v>
      </c>
    </row>
    <row r="273" spans="1:7" x14ac:dyDescent="0.25">
      <c r="A273">
        <v>1257791156</v>
      </c>
      <c r="B273" t="s">
        <v>555</v>
      </c>
      <c r="C273" t="str">
        <f>"17959835164082786"</f>
        <v>17959835164082786</v>
      </c>
      <c r="D273" t="s">
        <v>556</v>
      </c>
      <c r="E273" t="s">
        <v>557</v>
      </c>
      <c r="F273" t="s">
        <v>558</v>
      </c>
      <c r="G273" t="s">
        <v>560</v>
      </c>
    </row>
    <row r="274" spans="1:7" x14ac:dyDescent="0.25">
      <c r="A274">
        <v>2109895903</v>
      </c>
      <c r="B274" t="s">
        <v>561</v>
      </c>
      <c r="C274" t="str">
        <f>"17853044041127583"</f>
        <v>17853044041127583</v>
      </c>
      <c r="D274" t="s">
        <v>562</v>
      </c>
      <c r="E274" t="s">
        <v>563</v>
      </c>
      <c r="F274" t="s">
        <v>564</v>
      </c>
      <c r="G274" t="s">
        <v>565</v>
      </c>
    </row>
    <row r="275" spans="1:7" x14ac:dyDescent="0.25">
      <c r="A275">
        <v>2109895903</v>
      </c>
      <c r="B275" t="s">
        <v>561</v>
      </c>
      <c r="C275" t="str">
        <f>"17853044041127583"</f>
        <v>17853044041127583</v>
      </c>
      <c r="D275" t="s">
        <v>562</v>
      </c>
      <c r="E275" t="s">
        <v>563</v>
      </c>
      <c r="F275" t="s">
        <v>564</v>
      </c>
      <c r="G275" t="s">
        <v>565</v>
      </c>
    </row>
    <row r="276" spans="1:7" x14ac:dyDescent="0.25">
      <c r="A276">
        <v>4923967523</v>
      </c>
      <c r="B276" t="s">
        <v>566</v>
      </c>
      <c r="C276" t="str">
        <f>"17926599190167265"</f>
        <v>17926599190167265</v>
      </c>
      <c r="D276" t="s">
        <v>567</v>
      </c>
      <c r="E276" t="s">
        <v>568</v>
      </c>
      <c r="F276" t="s">
        <v>569</v>
      </c>
      <c r="G276" t="s">
        <v>570</v>
      </c>
    </row>
    <row r="277" spans="1:7" x14ac:dyDescent="0.25">
      <c r="A277">
        <v>4923967523</v>
      </c>
      <c r="B277" t="s">
        <v>566</v>
      </c>
      <c r="C277" t="str">
        <f>"17926599190167265"</f>
        <v>17926599190167265</v>
      </c>
      <c r="D277" t="s">
        <v>567</v>
      </c>
      <c r="E277" t="s">
        <v>568</v>
      </c>
      <c r="F277" t="s">
        <v>569</v>
      </c>
      <c r="G277" t="s">
        <v>570</v>
      </c>
    </row>
    <row r="278" spans="1:7" x14ac:dyDescent="0.25">
      <c r="A278">
        <v>2543044474</v>
      </c>
      <c r="B278" t="s">
        <v>571</v>
      </c>
      <c r="C278" t="str">
        <f>"17842389916152592"</f>
        <v>17842389916152592</v>
      </c>
      <c r="D278" t="s">
        <v>572</v>
      </c>
      <c r="E278" t="s">
        <v>573</v>
      </c>
      <c r="F278" t="s">
        <v>574</v>
      </c>
      <c r="G278" t="s">
        <v>575</v>
      </c>
    </row>
    <row r="279" spans="1:7" x14ac:dyDescent="0.25">
      <c r="A279">
        <v>2284918916</v>
      </c>
      <c r="B279" t="s">
        <v>576</v>
      </c>
      <c r="C279" t="str">
        <f>"17842402051152592"</f>
        <v>17842402051152592</v>
      </c>
      <c r="D279" t="s">
        <v>542</v>
      </c>
      <c r="E279" t="s">
        <v>577</v>
      </c>
      <c r="F279" t="s">
        <v>578</v>
      </c>
      <c r="G279" t="s">
        <v>579</v>
      </c>
    </row>
    <row r="280" spans="1:7" x14ac:dyDescent="0.25">
      <c r="A280">
        <v>2543044474</v>
      </c>
      <c r="B280" t="s">
        <v>571</v>
      </c>
      <c r="C280" t="str">
        <f>"17842389916152592"</f>
        <v>17842389916152592</v>
      </c>
      <c r="D280" t="s">
        <v>572</v>
      </c>
      <c r="E280" t="s">
        <v>573</v>
      </c>
      <c r="F280" t="s">
        <v>574</v>
      </c>
      <c r="G280" t="s">
        <v>575</v>
      </c>
    </row>
    <row r="281" spans="1:7" x14ac:dyDescent="0.25">
      <c r="A281">
        <v>2284918916</v>
      </c>
      <c r="B281" t="s">
        <v>576</v>
      </c>
      <c r="C281" t="str">
        <f>"17842402051152592"</f>
        <v>17842402051152592</v>
      </c>
      <c r="D281" t="s">
        <v>542</v>
      </c>
      <c r="E281" t="s">
        <v>577</v>
      </c>
      <c r="F281" t="s">
        <v>578</v>
      </c>
      <c r="G281" t="s">
        <v>579</v>
      </c>
    </row>
    <row r="282" spans="1:7" x14ac:dyDescent="0.25">
      <c r="A282">
        <v>2832650</v>
      </c>
      <c r="B282" t="s">
        <v>580</v>
      </c>
      <c r="C282" t="str">
        <f>"17852707996098365"</f>
        <v>17852707996098365</v>
      </c>
      <c r="D282" t="s">
        <v>106</v>
      </c>
      <c r="E282" t="s">
        <v>581</v>
      </c>
      <c r="F282" t="s">
        <v>582</v>
      </c>
      <c r="G282" t="s">
        <v>583</v>
      </c>
    </row>
    <row r="283" spans="1:7" x14ac:dyDescent="0.25">
      <c r="A283">
        <v>2832650</v>
      </c>
      <c r="B283" t="s">
        <v>580</v>
      </c>
      <c r="C283" t="str">
        <f>"17852707996098365"</f>
        <v>17852707996098365</v>
      </c>
      <c r="D283" t="s">
        <v>106</v>
      </c>
      <c r="E283" t="s">
        <v>581</v>
      </c>
      <c r="F283" t="s">
        <v>582</v>
      </c>
      <c r="G283" t="s">
        <v>583</v>
      </c>
    </row>
    <row r="284" spans="1:7" x14ac:dyDescent="0.25">
      <c r="A284">
        <v>280892265</v>
      </c>
      <c r="B284" t="s">
        <v>584</v>
      </c>
      <c r="C284" t="str">
        <f>"17842385566161632"</f>
        <v>17842385566161632</v>
      </c>
      <c r="D284" t="s">
        <v>585</v>
      </c>
      <c r="E284" t="s">
        <v>586</v>
      </c>
      <c r="F284" t="s">
        <v>587</v>
      </c>
      <c r="G284" t="s">
        <v>588</v>
      </c>
    </row>
    <row r="285" spans="1:7" x14ac:dyDescent="0.25">
      <c r="A285">
        <v>288453621</v>
      </c>
      <c r="B285" t="s">
        <v>589</v>
      </c>
      <c r="C285" t="str">
        <f>"17842386328161632"</f>
        <v>17842386328161632</v>
      </c>
      <c r="D285" t="s">
        <v>590</v>
      </c>
      <c r="E285" t="s">
        <v>591</v>
      </c>
      <c r="F285" t="s">
        <v>592</v>
      </c>
      <c r="G285" t="s">
        <v>593</v>
      </c>
    </row>
    <row r="286" spans="1:7" x14ac:dyDescent="0.25">
      <c r="A286">
        <v>21440755</v>
      </c>
      <c r="B286" t="s">
        <v>594</v>
      </c>
      <c r="C286" t="str">
        <f>"17842408741161632"</f>
        <v>17842408741161632</v>
      </c>
      <c r="D286" t="s">
        <v>595</v>
      </c>
      <c r="E286" t="s">
        <v>596</v>
      </c>
      <c r="F286" t="s">
        <v>597</v>
      </c>
      <c r="G286" t="s">
        <v>598</v>
      </c>
    </row>
    <row r="287" spans="1:7" x14ac:dyDescent="0.25">
      <c r="A287">
        <v>280892265</v>
      </c>
      <c r="B287" t="s">
        <v>584</v>
      </c>
      <c r="C287" t="str">
        <f>"17842385566161632"</f>
        <v>17842385566161632</v>
      </c>
      <c r="D287" t="s">
        <v>585</v>
      </c>
      <c r="E287" t="s">
        <v>586</v>
      </c>
      <c r="F287" t="s">
        <v>587</v>
      </c>
      <c r="G287" t="s">
        <v>599</v>
      </c>
    </row>
    <row r="288" spans="1:7" x14ac:dyDescent="0.25">
      <c r="A288">
        <v>288453621</v>
      </c>
      <c r="B288" t="s">
        <v>589</v>
      </c>
      <c r="C288" t="str">
        <f>"17842386328161632"</f>
        <v>17842386328161632</v>
      </c>
      <c r="D288" t="s">
        <v>590</v>
      </c>
      <c r="E288" t="s">
        <v>591</v>
      </c>
      <c r="F288" t="s">
        <v>592</v>
      </c>
      <c r="G288" t="s">
        <v>600</v>
      </c>
    </row>
    <row r="289" spans="1:7" x14ac:dyDescent="0.25">
      <c r="A289">
        <v>21440755</v>
      </c>
      <c r="B289" t="s">
        <v>594</v>
      </c>
      <c r="C289" t="str">
        <f>"17842408741161632"</f>
        <v>17842408741161632</v>
      </c>
      <c r="D289" t="s">
        <v>595</v>
      </c>
      <c r="E289" t="s">
        <v>596</v>
      </c>
      <c r="F289" t="s">
        <v>597</v>
      </c>
      <c r="G289" t="s">
        <v>601</v>
      </c>
    </row>
    <row r="290" spans="1:7" x14ac:dyDescent="0.25">
      <c r="A290">
        <v>280892265</v>
      </c>
      <c r="B290" t="s">
        <v>584</v>
      </c>
      <c r="C290" t="str">
        <f>"17842385566161632"</f>
        <v>17842385566161632</v>
      </c>
      <c r="D290" t="s">
        <v>585</v>
      </c>
      <c r="E290" t="s">
        <v>586</v>
      </c>
      <c r="F290" t="s">
        <v>587</v>
      </c>
      <c r="G290" t="s">
        <v>599</v>
      </c>
    </row>
    <row r="291" spans="1:7" x14ac:dyDescent="0.25">
      <c r="A291">
        <v>288453621</v>
      </c>
      <c r="B291" t="s">
        <v>589</v>
      </c>
      <c r="C291" t="str">
        <f>"17842386328161632"</f>
        <v>17842386328161632</v>
      </c>
      <c r="D291" t="s">
        <v>590</v>
      </c>
      <c r="E291" t="s">
        <v>591</v>
      </c>
      <c r="F291" t="s">
        <v>592</v>
      </c>
      <c r="G291" t="s">
        <v>600</v>
      </c>
    </row>
    <row r="292" spans="1:7" x14ac:dyDescent="0.25">
      <c r="A292">
        <v>21440755</v>
      </c>
      <c r="B292" t="s">
        <v>594</v>
      </c>
      <c r="C292" t="str">
        <f>"17842408741161632"</f>
        <v>17842408741161632</v>
      </c>
      <c r="D292" t="s">
        <v>595</v>
      </c>
      <c r="E292" t="s">
        <v>596</v>
      </c>
      <c r="F292" t="s">
        <v>597</v>
      </c>
      <c r="G292" t="s">
        <v>601</v>
      </c>
    </row>
    <row r="293" spans="1:7" x14ac:dyDescent="0.25">
      <c r="A293">
        <v>280892265</v>
      </c>
      <c r="B293" t="s">
        <v>584</v>
      </c>
      <c r="C293" t="str">
        <f>"17842385566161632"</f>
        <v>17842385566161632</v>
      </c>
      <c r="D293" t="s">
        <v>585</v>
      </c>
      <c r="E293" t="s">
        <v>586</v>
      </c>
      <c r="F293" t="s">
        <v>587</v>
      </c>
      <c r="G293" t="s">
        <v>588</v>
      </c>
    </row>
    <row r="294" spans="1:7" x14ac:dyDescent="0.25">
      <c r="A294">
        <v>288453621</v>
      </c>
      <c r="B294" t="s">
        <v>589</v>
      </c>
      <c r="C294" t="str">
        <f>"17842386328161632"</f>
        <v>17842386328161632</v>
      </c>
      <c r="D294" t="s">
        <v>590</v>
      </c>
      <c r="E294" t="s">
        <v>591</v>
      </c>
      <c r="F294" t="s">
        <v>592</v>
      </c>
      <c r="G294" t="s">
        <v>593</v>
      </c>
    </row>
    <row r="295" spans="1:7" x14ac:dyDescent="0.25">
      <c r="A295">
        <v>21440755</v>
      </c>
      <c r="B295" t="s">
        <v>594</v>
      </c>
      <c r="C295" t="str">
        <f>"17842408741161632"</f>
        <v>17842408741161632</v>
      </c>
      <c r="D295" t="s">
        <v>595</v>
      </c>
      <c r="E295" t="s">
        <v>596</v>
      </c>
      <c r="F295" t="s">
        <v>597</v>
      </c>
      <c r="G295" t="s">
        <v>598</v>
      </c>
    </row>
    <row r="296" spans="1:7" x14ac:dyDescent="0.25">
      <c r="A296">
        <v>2543044474</v>
      </c>
      <c r="B296" t="s">
        <v>571</v>
      </c>
      <c r="C296" t="str">
        <f>"17953310305004730"</f>
        <v>17953310305004730</v>
      </c>
      <c r="D296" t="s">
        <v>602</v>
      </c>
      <c r="E296" t="s">
        <v>603</v>
      </c>
      <c r="F296" t="s">
        <v>574</v>
      </c>
      <c r="G296" t="s">
        <v>604</v>
      </c>
    </row>
    <row r="297" spans="1:7" x14ac:dyDescent="0.25">
      <c r="A297">
        <v>1389154358</v>
      </c>
      <c r="B297" t="s">
        <v>605</v>
      </c>
      <c r="C297" t="str">
        <f>"17960076760122415"</f>
        <v>17960076760122415</v>
      </c>
      <c r="D297" t="s">
        <v>606</v>
      </c>
      <c r="E297" t="s">
        <v>607</v>
      </c>
      <c r="F297" t="s">
        <v>608</v>
      </c>
      <c r="G297" t="s">
        <v>609</v>
      </c>
    </row>
    <row r="298" spans="1:7" x14ac:dyDescent="0.25">
      <c r="A298">
        <v>2543044474</v>
      </c>
      <c r="B298" t="s">
        <v>571</v>
      </c>
      <c r="C298" t="str">
        <f>"17953310305004730"</f>
        <v>17953310305004730</v>
      </c>
      <c r="D298" t="s">
        <v>602</v>
      </c>
      <c r="E298" t="s">
        <v>603</v>
      </c>
      <c r="F298" t="s">
        <v>574</v>
      </c>
      <c r="G298" t="s">
        <v>604</v>
      </c>
    </row>
    <row r="299" spans="1:7" x14ac:dyDescent="0.25">
      <c r="A299">
        <v>1389154358</v>
      </c>
      <c r="B299" t="s">
        <v>605</v>
      </c>
      <c r="C299" t="str">
        <f>"17960076760122415"</f>
        <v>17960076760122415</v>
      </c>
      <c r="D299" t="s">
        <v>606</v>
      </c>
      <c r="E299" t="s">
        <v>607</v>
      </c>
      <c r="F299" t="s">
        <v>608</v>
      </c>
      <c r="G299" t="s">
        <v>609</v>
      </c>
    </row>
    <row r="300" spans="1:7" x14ac:dyDescent="0.25">
      <c r="A300">
        <v>2543044474</v>
      </c>
      <c r="B300" t="s">
        <v>571</v>
      </c>
      <c r="C300" t="str">
        <f>"17953310305004730"</f>
        <v>17953310305004730</v>
      </c>
      <c r="D300" t="s">
        <v>602</v>
      </c>
      <c r="E300" t="s">
        <v>603</v>
      </c>
      <c r="F300" t="s">
        <v>574</v>
      </c>
      <c r="G300" t="s">
        <v>610</v>
      </c>
    </row>
    <row r="301" spans="1:7" x14ac:dyDescent="0.25">
      <c r="A301">
        <v>1389154358</v>
      </c>
      <c r="B301" t="s">
        <v>605</v>
      </c>
      <c r="C301" t="str">
        <f>"17960076760122415"</f>
        <v>17960076760122415</v>
      </c>
      <c r="D301" t="s">
        <v>606</v>
      </c>
      <c r="E301" t="s">
        <v>607</v>
      </c>
      <c r="F301" t="s">
        <v>608</v>
      </c>
      <c r="G301" t="s">
        <v>611</v>
      </c>
    </row>
    <row r="302" spans="1:7" x14ac:dyDescent="0.25">
      <c r="A302">
        <v>2543044474</v>
      </c>
      <c r="B302" t="s">
        <v>571</v>
      </c>
      <c r="C302" t="str">
        <f>"17953310305004730"</f>
        <v>17953310305004730</v>
      </c>
      <c r="D302" t="s">
        <v>602</v>
      </c>
      <c r="E302" t="s">
        <v>603</v>
      </c>
      <c r="F302" t="s">
        <v>574</v>
      </c>
      <c r="G302" t="s">
        <v>612</v>
      </c>
    </row>
    <row r="303" spans="1:7" x14ac:dyDescent="0.25">
      <c r="A303">
        <v>1389154358</v>
      </c>
      <c r="B303" t="s">
        <v>605</v>
      </c>
      <c r="C303" t="str">
        <f>"17960076760122415"</f>
        <v>17960076760122415</v>
      </c>
      <c r="D303" t="s">
        <v>606</v>
      </c>
      <c r="E303" t="s">
        <v>607</v>
      </c>
      <c r="F303" t="s">
        <v>608</v>
      </c>
      <c r="G303" t="s">
        <v>613</v>
      </c>
    </row>
    <row r="304" spans="1:7" x14ac:dyDescent="0.25">
      <c r="A304">
        <v>783747612</v>
      </c>
      <c r="B304" t="s">
        <v>614</v>
      </c>
      <c r="C304" t="str">
        <f>"17880366019224586"</f>
        <v>17880366019224586</v>
      </c>
      <c r="D304" t="s">
        <v>615</v>
      </c>
      <c r="E304" t="s">
        <v>616</v>
      </c>
      <c r="F304" t="s">
        <v>617</v>
      </c>
      <c r="G304" t="s">
        <v>618</v>
      </c>
    </row>
    <row r="305" spans="1:7" x14ac:dyDescent="0.25">
      <c r="A305">
        <v>783747612</v>
      </c>
      <c r="B305" t="s">
        <v>614</v>
      </c>
      <c r="C305" t="str">
        <f>"17880366019224586"</f>
        <v>17880366019224586</v>
      </c>
      <c r="D305" t="s">
        <v>615</v>
      </c>
      <c r="E305" t="s">
        <v>616</v>
      </c>
      <c r="F305" t="s">
        <v>617</v>
      </c>
      <c r="G305" t="s">
        <v>618</v>
      </c>
    </row>
    <row r="306" spans="1:7" x14ac:dyDescent="0.25">
      <c r="A306">
        <v>2900459627</v>
      </c>
      <c r="B306" t="s">
        <v>619</v>
      </c>
      <c r="C306" t="str">
        <f>"17862268300012081"</f>
        <v>17862268300012081</v>
      </c>
      <c r="D306" t="s">
        <v>620</v>
      </c>
      <c r="E306" t="s">
        <v>621</v>
      </c>
      <c r="F306" t="s">
        <v>622</v>
      </c>
      <c r="G306" t="s">
        <v>623</v>
      </c>
    </row>
    <row r="307" spans="1:7" x14ac:dyDescent="0.25">
      <c r="A307">
        <v>3224507539</v>
      </c>
      <c r="B307" t="s">
        <v>624</v>
      </c>
      <c r="C307" t="str">
        <f>"17862268657012081"</f>
        <v>17862268657012081</v>
      </c>
      <c r="D307" t="s">
        <v>625</v>
      </c>
      <c r="E307" t="s">
        <v>626</v>
      </c>
      <c r="F307" t="s">
        <v>627</v>
      </c>
      <c r="G307" t="s">
        <v>628</v>
      </c>
    </row>
    <row r="308" spans="1:7" x14ac:dyDescent="0.25">
      <c r="A308">
        <v>401248970</v>
      </c>
      <c r="B308" t="s">
        <v>629</v>
      </c>
      <c r="C308" t="str">
        <f>"17862272818012081"</f>
        <v>17862272818012081</v>
      </c>
      <c r="D308" t="s">
        <v>152</v>
      </c>
      <c r="E308" t="s">
        <v>630</v>
      </c>
      <c r="F308" t="s">
        <v>631</v>
      </c>
      <c r="G308" t="s">
        <v>632</v>
      </c>
    </row>
    <row r="309" spans="1:7" x14ac:dyDescent="0.25">
      <c r="A309">
        <v>2050712273</v>
      </c>
      <c r="B309" t="s">
        <v>633</v>
      </c>
      <c r="C309" t="str">
        <f>"17862285289012081"</f>
        <v>17862285289012081</v>
      </c>
      <c r="D309" t="s">
        <v>634</v>
      </c>
      <c r="E309" t="s">
        <v>635</v>
      </c>
      <c r="F309" t="s">
        <v>636</v>
      </c>
      <c r="G309" t="s">
        <v>637</v>
      </c>
    </row>
    <row r="310" spans="1:7" x14ac:dyDescent="0.25">
      <c r="A310">
        <v>3683191927</v>
      </c>
      <c r="B310" t="s">
        <v>638</v>
      </c>
      <c r="C310" t="str">
        <f>"17845133143152300"</f>
        <v>17845133143152300</v>
      </c>
      <c r="D310" t="s">
        <v>639</v>
      </c>
      <c r="E310" t="s">
        <v>640</v>
      </c>
      <c r="F310" t="s">
        <v>641</v>
      </c>
      <c r="G310" t="s">
        <v>642</v>
      </c>
    </row>
    <row r="311" spans="1:7" x14ac:dyDescent="0.25">
      <c r="A311">
        <v>43366588</v>
      </c>
      <c r="B311" t="s">
        <v>643</v>
      </c>
      <c r="C311" t="str">
        <f>"17848132114192105"</f>
        <v>17848132114192105</v>
      </c>
      <c r="D311" t="s">
        <v>644</v>
      </c>
      <c r="E311" t="s">
        <v>645</v>
      </c>
      <c r="F311" t="s">
        <v>646</v>
      </c>
      <c r="G311" t="s">
        <v>647</v>
      </c>
    </row>
    <row r="312" spans="1:7" x14ac:dyDescent="0.25">
      <c r="A312">
        <v>2900459627</v>
      </c>
      <c r="B312" t="s">
        <v>619</v>
      </c>
      <c r="C312" t="str">
        <f>"17862268300012081"</f>
        <v>17862268300012081</v>
      </c>
      <c r="D312" t="s">
        <v>620</v>
      </c>
      <c r="E312" t="s">
        <v>621</v>
      </c>
      <c r="F312" t="s">
        <v>622</v>
      </c>
      <c r="G312" t="s">
        <v>623</v>
      </c>
    </row>
    <row r="313" spans="1:7" x14ac:dyDescent="0.25">
      <c r="A313">
        <v>3224507539</v>
      </c>
      <c r="B313" t="s">
        <v>624</v>
      </c>
      <c r="C313" t="str">
        <f>"17862268657012081"</f>
        <v>17862268657012081</v>
      </c>
      <c r="D313" t="s">
        <v>625</v>
      </c>
      <c r="E313" t="s">
        <v>626</v>
      </c>
      <c r="F313" t="s">
        <v>627</v>
      </c>
      <c r="G313" t="s">
        <v>628</v>
      </c>
    </row>
    <row r="314" spans="1:7" x14ac:dyDescent="0.25">
      <c r="A314">
        <v>401248970</v>
      </c>
      <c r="B314" t="s">
        <v>629</v>
      </c>
      <c r="C314" t="str">
        <f>"17862272818012081"</f>
        <v>17862272818012081</v>
      </c>
      <c r="D314" t="s">
        <v>152</v>
      </c>
      <c r="E314" t="s">
        <v>630</v>
      </c>
      <c r="F314" t="s">
        <v>631</v>
      </c>
      <c r="G314" t="s">
        <v>632</v>
      </c>
    </row>
    <row r="315" spans="1:7" x14ac:dyDescent="0.25">
      <c r="A315">
        <v>2050712273</v>
      </c>
      <c r="B315" t="s">
        <v>633</v>
      </c>
      <c r="C315" t="str">
        <f>"17862285289012081"</f>
        <v>17862285289012081</v>
      </c>
      <c r="D315" t="s">
        <v>634</v>
      </c>
      <c r="E315" t="s">
        <v>635</v>
      </c>
      <c r="F315" t="s">
        <v>636</v>
      </c>
      <c r="G315" t="s">
        <v>637</v>
      </c>
    </row>
    <row r="316" spans="1:7" x14ac:dyDescent="0.25">
      <c r="A316">
        <v>3683191927</v>
      </c>
      <c r="B316" t="s">
        <v>638</v>
      </c>
      <c r="C316" t="str">
        <f>"17845133143152300"</f>
        <v>17845133143152300</v>
      </c>
      <c r="D316" t="s">
        <v>639</v>
      </c>
      <c r="E316" t="s">
        <v>640</v>
      </c>
      <c r="F316" t="s">
        <v>641</v>
      </c>
      <c r="G316" t="s">
        <v>642</v>
      </c>
    </row>
    <row r="317" spans="1:7" x14ac:dyDescent="0.25">
      <c r="A317">
        <v>43366588</v>
      </c>
      <c r="B317" t="s">
        <v>643</v>
      </c>
      <c r="C317" t="str">
        <f>"17848132114192105"</f>
        <v>17848132114192105</v>
      </c>
      <c r="D317" t="s">
        <v>644</v>
      </c>
      <c r="E317" t="s">
        <v>645</v>
      </c>
      <c r="F317" t="s">
        <v>646</v>
      </c>
      <c r="G317" t="s">
        <v>647</v>
      </c>
    </row>
    <row r="318" spans="1:7" x14ac:dyDescent="0.25">
      <c r="A318">
        <v>182192248</v>
      </c>
      <c r="B318" t="s">
        <v>648</v>
      </c>
      <c r="C318" t="str">
        <f>"17842194478138055"</f>
        <v>17842194478138055</v>
      </c>
      <c r="D318" t="s">
        <v>649</v>
      </c>
      <c r="E318" t="s">
        <v>650</v>
      </c>
      <c r="F318" t="s">
        <v>651</v>
      </c>
      <c r="G318" t="s">
        <v>652</v>
      </c>
    </row>
    <row r="319" spans="1:7" x14ac:dyDescent="0.25">
      <c r="A319">
        <v>196056488</v>
      </c>
      <c r="B319" t="s">
        <v>653</v>
      </c>
      <c r="C319" t="str">
        <f>"17842215865138055"</f>
        <v>17842215865138055</v>
      </c>
      <c r="D319" t="s">
        <v>97</v>
      </c>
      <c r="E319" t="s">
        <v>654</v>
      </c>
      <c r="F319" t="s">
        <v>655</v>
      </c>
      <c r="G319" t="s">
        <v>656</v>
      </c>
    </row>
    <row r="320" spans="1:7" x14ac:dyDescent="0.25">
      <c r="A320">
        <v>182192248</v>
      </c>
      <c r="B320" t="s">
        <v>648</v>
      </c>
      <c r="C320" t="str">
        <f>"17842194478138055"</f>
        <v>17842194478138055</v>
      </c>
      <c r="D320" t="s">
        <v>649</v>
      </c>
      <c r="E320" t="s">
        <v>650</v>
      </c>
      <c r="F320" t="s">
        <v>651</v>
      </c>
      <c r="G320" t="s">
        <v>652</v>
      </c>
    </row>
    <row r="321" spans="1:7" x14ac:dyDescent="0.25">
      <c r="A321">
        <v>196056488</v>
      </c>
      <c r="B321" t="s">
        <v>653</v>
      </c>
      <c r="C321" t="str">
        <f>"17842215865138055"</f>
        <v>17842215865138055</v>
      </c>
      <c r="D321" t="s">
        <v>97</v>
      </c>
      <c r="E321" t="s">
        <v>654</v>
      </c>
      <c r="F321" t="s">
        <v>655</v>
      </c>
      <c r="G321" t="s">
        <v>656</v>
      </c>
    </row>
    <row r="322" spans="1:7" x14ac:dyDescent="0.25">
      <c r="A322">
        <v>182192248</v>
      </c>
      <c r="B322" t="s">
        <v>648</v>
      </c>
      <c r="C322" t="str">
        <f>"17842194478138055"</f>
        <v>17842194478138055</v>
      </c>
      <c r="D322" t="s">
        <v>649</v>
      </c>
      <c r="E322" t="s">
        <v>650</v>
      </c>
      <c r="F322" t="s">
        <v>651</v>
      </c>
      <c r="G322" t="s">
        <v>652</v>
      </c>
    </row>
    <row r="323" spans="1:7" x14ac:dyDescent="0.25">
      <c r="A323">
        <v>196056488</v>
      </c>
      <c r="B323" t="s">
        <v>653</v>
      </c>
      <c r="C323" t="str">
        <f>"17842215865138055"</f>
        <v>17842215865138055</v>
      </c>
      <c r="D323" t="s">
        <v>97</v>
      </c>
      <c r="E323" t="s">
        <v>654</v>
      </c>
      <c r="F323" t="s">
        <v>655</v>
      </c>
      <c r="G323" t="s">
        <v>656</v>
      </c>
    </row>
    <row r="324" spans="1:7" x14ac:dyDescent="0.25">
      <c r="A324">
        <v>1779163859</v>
      </c>
      <c r="B324" t="s">
        <v>657</v>
      </c>
      <c r="C324" t="str">
        <f>"17864930590261927"</f>
        <v>17864930590261927</v>
      </c>
      <c r="D324" t="s">
        <v>658</v>
      </c>
      <c r="E324" t="s">
        <v>659</v>
      </c>
      <c r="F324" t="s">
        <v>660</v>
      </c>
      <c r="G324" t="s">
        <v>661</v>
      </c>
    </row>
    <row r="325" spans="1:7" x14ac:dyDescent="0.25">
      <c r="A325">
        <v>1779163859</v>
      </c>
      <c r="B325" t="s">
        <v>657</v>
      </c>
      <c r="C325" t="str">
        <f>"17864930590261927"</f>
        <v>17864930590261927</v>
      </c>
      <c r="D325" t="s">
        <v>658</v>
      </c>
      <c r="E325" t="s">
        <v>659</v>
      </c>
      <c r="F325" t="s">
        <v>660</v>
      </c>
      <c r="G325" t="s">
        <v>662</v>
      </c>
    </row>
    <row r="326" spans="1:7" x14ac:dyDescent="0.25">
      <c r="A326">
        <v>3880779748</v>
      </c>
      <c r="B326" t="s">
        <v>663</v>
      </c>
      <c r="C326" t="str">
        <f>"17842483747139846"</f>
        <v>17842483747139846</v>
      </c>
      <c r="D326" t="s">
        <v>664</v>
      </c>
      <c r="E326" t="s">
        <v>665</v>
      </c>
      <c r="F326" t="s">
        <v>666</v>
      </c>
      <c r="G326" t="s">
        <v>667</v>
      </c>
    </row>
    <row r="327" spans="1:7" x14ac:dyDescent="0.25">
      <c r="A327">
        <v>3880779748</v>
      </c>
      <c r="B327" t="s">
        <v>663</v>
      </c>
      <c r="C327" t="str">
        <f>"17842483747139846"</f>
        <v>17842483747139846</v>
      </c>
      <c r="D327" t="s">
        <v>664</v>
      </c>
      <c r="E327" t="s">
        <v>665</v>
      </c>
      <c r="F327" t="s">
        <v>666</v>
      </c>
      <c r="G327" t="s">
        <v>667</v>
      </c>
    </row>
    <row r="328" spans="1:7" x14ac:dyDescent="0.25">
      <c r="A328">
        <v>3880779748</v>
      </c>
      <c r="B328" t="s">
        <v>663</v>
      </c>
      <c r="C328" t="str">
        <f>"17842483747139846"</f>
        <v>17842483747139846</v>
      </c>
      <c r="D328" t="s">
        <v>664</v>
      </c>
      <c r="E328" t="s">
        <v>665</v>
      </c>
      <c r="F328" t="s">
        <v>666</v>
      </c>
      <c r="G328" t="s">
        <v>667</v>
      </c>
    </row>
    <row r="329" spans="1:7" x14ac:dyDescent="0.25">
      <c r="A329">
        <v>1537628519</v>
      </c>
      <c r="B329" t="s">
        <v>668</v>
      </c>
      <c r="C329" t="str">
        <f>"17861818849020557"</f>
        <v>17861818849020557</v>
      </c>
      <c r="D329" t="s">
        <v>669</v>
      </c>
      <c r="E329" t="s">
        <v>670</v>
      </c>
      <c r="F329" t="s">
        <v>671</v>
      </c>
      <c r="G329" t="s">
        <v>672</v>
      </c>
    </row>
    <row r="330" spans="1:7" x14ac:dyDescent="0.25">
      <c r="A330">
        <v>1537628519</v>
      </c>
      <c r="B330" t="s">
        <v>668</v>
      </c>
      <c r="C330" t="str">
        <f>"17861818849020557"</f>
        <v>17861818849020557</v>
      </c>
      <c r="D330" t="s">
        <v>669</v>
      </c>
      <c r="E330" t="s">
        <v>670</v>
      </c>
      <c r="F330" t="s">
        <v>671</v>
      </c>
      <c r="G330" t="s">
        <v>672</v>
      </c>
    </row>
    <row r="331" spans="1:7" x14ac:dyDescent="0.25">
      <c r="A331">
        <v>1318317601</v>
      </c>
      <c r="B331" t="s">
        <v>673</v>
      </c>
      <c r="C331" t="str">
        <f>"17852373844100005"</f>
        <v>17852373844100005</v>
      </c>
      <c r="D331" t="s">
        <v>674</v>
      </c>
      <c r="E331" t="s">
        <v>675</v>
      </c>
      <c r="F331" t="s">
        <v>676</v>
      </c>
      <c r="G331" t="s">
        <v>677</v>
      </c>
    </row>
    <row r="332" spans="1:7" x14ac:dyDescent="0.25">
      <c r="A332">
        <v>1318317601</v>
      </c>
      <c r="B332" t="s">
        <v>673</v>
      </c>
      <c r="C332" t="str">
        <f>"17852373844100005"</f>
        <v>17852373844100005</v>
      </c>
      <c r="D332" t="s">
        <v>674</v>
      </c>
      <c r="E332" t="s">
        <v>675</v>
      </c>
      <c r="F332" t="s">
        <v>676</v>
      </c>
      <c r="G332" t="s">
        <v>677</v>
      </c>
    </row>
    <row r="333" spans="1:7" x14ac:dyDescent="0.25">
      <c r="A333">
        <v>1167332</v>
      </c>
      <c r="B333" t="s">
        <v>678</v>
      </c>
      <c r="C333" t="str">
        <f>"17856476464068441"</f>
        <v>17856476464068441</v>
      </c>
      <c r="D333" t="s">
        <v>679</v>
      </c>
      <c r="E333" t="s">
        <v>680</v>
      </c>
      <c r="F333" t="s">
        <v>681</v>
      </c>
      <c r="G333" t="s">
        <v>682</v>
      </c>
    </row>
    <row r="334" spans="1:7" x14ac:dyDescent="0.25">
      <c r="A334">
        <v>1167332</v>
      </c>
      <c r="B334" t="s">
        <v>678</v>
      </c>
      <c r="C334" t="str">
        <f>"17856476464068441"</f>
        <v>17856476464068441</v>
      </c>
      <c r="D334" t="s">
        <v>679</v>
      </c>
      <c r="E334" t="s">
        <v>680</v>
      </c>
      <c r="F334" t="s">
        <v>681</v>
      </c>
      <c r="G334" t="s">
        <v>682</v>
      </c>
    </row>
    <row r="335" spans="1:7" x14ac:dyDescent="0.25">
      <c r="A335">
        <v>1167332</v>
      </c>
      <c r="B335" t="s">
        <v>678</v>
      </c>
      <c r="C335" t="str">
        <f>"17856476464068441"</f>
        <v>17856476464068441</v>
      </c>
      <c r="D335" t="s">
        <v>679</v>
      </c>
      <c r="E335" t="s">
        <v>680</v>
      </c>
      <c r="F335" t="s">
        <v>681</v>
      </c>
      <c r="G335" t="s">
        <v>682</v>
      </c>
    </row>
    <row r="336" spans="1:7" x14ac:dyDescent="0.25">
      <c r="A336">
        <v>1525615285</v>
      </c>
      <c r="B336" t="s">
        <v>683</v>
      </c>
      <c r="C336" t="str">
        <f>"17842676638132731"</f>
        <v>17842676638132731</v>
      </c>
      <c r="D336" t="s">
        <v>684</v>
      </c>
      <c r="E336" t="s">
        <v>685</v>
      </c>
      <c r="F336" t="s">
        <v>686</v>
      </c>
      <c r="G336" t="s">
        <v>687</v>
      </c>
    </row>
    <row r="337" spans="1:7" x14ac:dyDescent="0.25">
      <c r="A337">
        <v>2982754325</v>
      </c>
      <c r="B337" t="s">
        <v>688</v>
      </c>
      <c r="C337" t="str">
        <f>"17842799815132731"</f>
        <v>17842799815132731</v>
      </c>
      <c r="D337" t="s">
        <v>689</v>
      </c>
      <c r="E337" t="s">
        <v>690</v>
      </c>
      <c r="F337" t="s">
        <v>691</v>
      </c>
      <c r="G337" t="s">
        <v>692</v>
      </c>
    </row>
    <row r="338" spans="1:7" x14ac:dyDescent="0.25">
      <c r="A338">
        <v>1525615285</v>
      </c>
      <c r="B338" t="s">
        <v>683</v>
      </c>
      <c r="C338" t="str">
        <f>"17842676638132731"</f>
        <v>17842676638132731</v>
      </c>
      <c r="D338" t="s">
        <v>684</v>
      </c>
      <c r="E338" t="s">
        <v>685</v>
      </c>
      <c r="F338" t="s">
        <v>686</v>
      </c>
      <c r="G338" t="s">
        <v>687</v>
      </c>
    </row>
    <row r="339" spans="1:7" x14ac:dyDescent="0.25">
      <c r="A339">
        <v>2982754325</v>
      </c>
      <c r="B339" t="s">
        <v>688</v>
      </c>
      <c r="C339" t="str">
        <f>"17842799815132731"</f>
        <v>17842799815132731</v>
      </c>
      <c r="D339" t="s">
        <v>689</v>
      </c>
      <c r="E339" t="s">
        <v>690</v>
      </c>
      <c r="F339" t="s">
        <v>691</v>
      </c>
      <c r="G339" t="s">
        <v>692</v>
      </c>
    </row>
    <row r="340" spans="1:7" x14ac:dyDescent="0.25">
      <c r="A340">
        <v>3152309025</v>
      </c>
      <c r="B340" t="s">
        <v>693</v>
      </c>
      <c r="C340" t="str">
        <f>"17842218943163182"</f>
        <v>17842218943163182</v>
      </c>
      <c r="D340" t="s">
        <v>694</v>
      </c>
      <c r="E340" t="s">
        <v>695</v>
      </c>
      <c r="F340" t="s">
        <v>696</v>
      </c>
      <c r="G340" t="s">
        <v>697</v>
      </c>
    </row>
    <row r="341" spans="1:7" x14ac:dyDescent="0.25">
      <c r="A341">
        <v>300994</v>
      </c>
      <c r="B341" t="s">
        <v>698</v>
      </c>
      <c r="C341" t="str">
        <f>"17842238110163182"</f>
        <v>17842238110163182</v>
      </c>
      <c r="D341" t="s">
        <v>699</v>
      </c>
      <c r="E341" t="s">
        <v>700</v>
      </c>
      <c r="F341" t="s">
        <v>701</v>
      </c>
      <c r="G341" t="s">
        <v>702</v>
      </c>
    </row>
    <row r="342" spans="1:7" x14ac:dyDescent="0.25">
      <c r="A342">
        <v>3421733566</v>
      </c>
      <c r="B342" t="s">
        <v>703</v>
      </c>
      <c r="C342" t="str">
        <f>"17842336330163182"</f>
        <v>17842336330163182</v>
      </c>
      <c r="D342" t="s">
        <v>704</v>
      </c>
      <c r="E342" t="s">
        <v>705</v>
      </c>
      <c r="F342" t="s">
        <v>706</v>
      </c>
      <c r="G342" t="s">
        <v>707</v>
      </c>
    </row>
    <row r="343" spans="1:7" x14ac:dyDescent="0.25">
      <c r="A343">
        <v>3152309025</v>
      </c>
      <c r="B343" t="s">
        <v>693</v>
      </c>
      <c r="C343" t="str">
        <f>"17842218943163182"</f>
        <v>17842218943163182</v>
      </c>
      <c r="D343" t="s">
        <v>694</v>
      </c>
      <c r="E343" t="s">
        <v>695</v>
      </c>
      <c r="F343" t="s">
        <v>696</v>
      </c>
      <c r="G343" t="s">
        <v>697</v>
      </c>
    </row>
    <row r="344" spans="1:7" x14ac:dyDescent="0.25">
      <c r="A344">
        <v>300994</v>
      </c>
      <c r="B344" t="s">
        <v>698</v>
      </c>
      <c r="C344" t="str">
        <f>"17842238110163182"</f>
        <v>17842238110163182</v>
      </c>
      <c r="D344" t="s">
        <v>699</v>
      </c>
      <c r="E344" t="s">
        <v>700</v>
      </c>
      <c r="F344" t="s">
        <v>701</v>
      </c>
      <c r="G344" t="s">
        <v>702</v>
      </c>
    </row>
    <row r="345" spans="1:7" x14ac:dyDescent="0.25">
      <c r="A345">
        <v>3421733566</v>
      </c>
      <c r="B345" t="s">
        <v>703</v>
      </c>
      <c r="C345" t="str">
        <f>"17842336330163182"</f>
        <v>17842336330163182</v>
      </c>
      <c r="D345" t="s">
        <v>704</v>
      </c>
      <c r="E345" t="s">
        <v>705</v>
      </c>
      <c r="F345" t="s">
        <v>706</v>
      </c>
      <c r="G345" t="s">
        <v>707</v>
      </c>
    </row>
    <row r="346" spans="1:7" x14ac:dyDescent="0.25">
      <c r="A346">
        <v>3152309025</v>
      </c>
      <c r="B346" t="s">
        <v>693</v>
      </c>
      <c r="C346" t="str">
        <f>"17842218943163182"</f>
        <v>17842218943163182</v>
      </c>
      <c r="D346" t="s">
        <v>694</v>
      </c>
      <c r="E346" t="s">
        <v>695</v>
      </c>
      <c r="F346" t="s">
        <v>696</v>
      </c>
      <c r="G346" t="s">
        <v>708</v>
      </c>
    </row>
    <row r="347" spans="1:7" x14ac:dyDescent="0.25">
      <c r="A347">
        <v>300994</v>
      </c>
      <c r="B347" t="s">
        <v>698</v>
      </c>
      <c r="C347" t="str">
        <f>"17842238110163182"</f>
        <v>17842238110163182</v>
      </c>
      <c r="D347" t="s">
        <v>699</v>
      </c>
      <c r="E347" t="s">
        <v>700</v>
      </c>
      <c r="F347" t="s">
        <v>701</v>
      </c>
      <c r="G347" t="s">
        <v>709</v>
      </c>
    </row>
    <row r="348" spans="1:7" x14ac:dyDescent="0.25">
      <c r="A348">
        <v>3421733566</v>
      </c>
      <c r="B348" t="s">
        <v>703</v>
      </c>
      <c r="C348" t="str">
        <f>"17842336330163182"</f>
        <v>17842336330163182</v>
      </c>
      <c r="D348" t="s">
        <v>704</v>
      </c>
      <c r="E348" t="s">
        <v>705</v>
      </c>
      <c r="F348" t="s">
        <v>706</v>
      </c>
      <c r="G348" t="s">
        <v>710</v>
      </c>
    </row>
    <row r="349" spans="1:7" x14ac:dyDescent="0.25">
      <c r="A349">
        <v>3152309025</v>
      </c>
      <c r="B349" t="s">
        <v>693</v>
      </c>
      <c r="C349" t="str">
        <f>"17842218943163182"</f>
        <v>17842218943163182</v>
      </c>
      <c r="D349" t="s">
        <v>694</v>
      </c>
      <c r="E349" t="s">
        <v>695</v>
      </c>
      <c r="F349" t="s">
        <v>696</v>
      </c>
      <c r="G349" t="s">
        <v>697</v>
      </c>
    </row>
    <row r="350" spans="1:7" x14ac:dyDescent="0.25">
      <c r="A350">
        <v>300994</v>
      </c>
      <c r="B350" t="s">
        <v>698</v>
      </c>
      <c r="C350" t="str">
        <f>"17842238110163182"</f>
        <v>17842238110163182</v>
      </c>
      <c r="D350" t="s">
        <v>699</v>
      </c>
      <c r="E350" t="s">
        <v>700</v>
      </c>
      <c r="F350" t="s">
        <v>701</v>
      </c>
      <c r="G350" t="s">
        <v>702</v>
      </c>
    </row>
    <row r="351" spans="1:7" x14ac:dyDescent="0.25">
      <c r="A351">
        <v>3421733566</v>
      </c>
      <c r="B351" t="s">
        <v>703</v>
      </c>
      <c r="C351" t="str">
        <f>"17842336330163182"</f>
        <v>17842336330163182</v>
      </c>
      <c r="D351" t="s">
        <v>704</v>
      </c>
      <c r="E351" t="s">
        <v>705</v>
      </c>
      <c r="F351" t="s">
        <v>706</v>
      </c>
      <c r="G351" t="s">
        <v>707</v>
      </c>
    </row>
    <row r="352" spans="1:7" x14ac:dyDescent="0.25">
      <c r="A352">
        <v>309766654</v>
      </c>
      <c r="B352" t="s">
        <v>711</v>
      </c>
      <c r="C352" t="str">
        <f>"17856330958070240"</f>
        <v>17856330958070240</v>
      </c>
      <c r="D352" t="s">
        <v>152</v>
      </c>
      <c r="E352" t="s">
        <v>712</v>
      </c>
      <c r="F352" t="s">
        <v>713</v>
      </c>
      <c r="G352" t="s">
        <v>714</v>
      </c>
    </row>
    <row r="353" spans="1:7" x14ac:dyDescent="0.25">
      <c r="A353">
        <v>2889992138</v>
      </c>
      <c r="B353" t="s">
        <v>715</v>
      </c>
      <c r="C353" t="str">
        <f>"17856402901070240"</f>
        <v>17856402901070240</v>
      </c>
      <c r="D353" t="s">
        <v>716</v>
      </c>
      <c r="E353" t="s">
        <v>717</v>
      </c>
      <c r="F353" t="s">
        <v>718</v>
      </c>
      <c r="G353" t="s">
        <v>719</v>
      </c>
    </row>
    <row r="354" spans="1:7" x14ac:dyDescent="0.25">
      <c r="A354">
        <v>911559609</v>
      </c>
      <c r="B354" t="s">
        <v>720</v>
      </c>
      <c r="C354" t="str">
        <f>"17846563102275169"</f>
        <v>17846563102275169</v>
      </c>
      <c r="D354" t="s">
        <v>721</v>
      </c>
      <c r="E354" t="s">
        <v>722</v>
      </c>
      <c r="F354" t="s">
        <v>723</v>
      </c>
      <c r="G354" t="s">
        <v>724</v>
      </c>
    </row>
    <row r="355" spans="1:7" x14ac:dyDescent="0.25">
      <c r="A355">
        <v>911559609</v>
      </c>
      <c r="B355" t="s">
        <v>720</v>
      </c>
      <c r="C355" t="str">
        <f>"17846563102275169"</f>
        <v>17846563102275169</v>
      </c>
      <c r="D355" t="s">
        <v>721</v>
      </c>
      <c r="E355" t="s">
        <v>722</v>
      </c>
      <c r="F355" t="s">
        <v>723</v>
      </c>
      <c r="G355" t="s">
        <v>724</v>
      </c>
    </row>
    <row r="356" spans="1:7" x14ac:dyDescent="0.25">
      <c r="A356">
        <v>3565234676</v>
      </c>
      <c r="B356" t="s">
        <v>725</v>
      </c>
      <c r="C356" t="str">
        <f>"17852752492114305"</f>
        <v>17852752492114305</v>
      </c>
      <c r="D356" t="s">
        <v>726</v>
      </c>
      <c r="E356" t="s">
        <v>727</v>
      </c>
      <c r="F356" t="s">
        <v>728</v>
      </c>
      <c r="G356" t="s">
        <v>729</v>
      </c>
    </row>
    <row r="357" spans="1:7" x14ac:dyDescent="0.25">
      <c r="A357">
        <v>3565234676</v>
      </c>
      <c r="B357" t="s">
        <v>725</v>
      </c>
      <c r="C357" t="str">
        <f>"17852752492114305"</f>
        <v>17852752492114305</v>
      </c>
      <c r="D357" t="s">
        <v>726</v>
      </c>
      <c r="E357" t="s">
        <v>727</v>
      </c>
      <c r="F357" t="s">
        <v>728</v>
      </c>
      <c r="G357" t="s">
        <v>729</v>
      </c>
    </row>
    <row r="358" spans="1:7" x14ac:dyDescent="0.25">
      <c r="A358">
        <v>3918479248</v>
      </c>
      <c r="B358" t="s">
        <v>730</v>
      </c>
      <c r="C358" t="str">
        <f>"17842374766137481"</f>
        <v>17842374766137481</v>
      </c>
      <c r="D358" t="s">
        <v>731</v>
      </c>
      <c r="E358" t="s">
        <v>732</v>
      </c>
      <c r="F358" t="s">
        <v>733</v>
      </c>
      <c r="G358" t="s">
        <v>734</v>
      </c>
    </row>
    <row r="359" spans="1:7" x14ac:dyDescent="0.25">
      <c r="A359">
        <v>3918479248</v>
      </c>
      <c r="B359" t="s">
        <v>730</v>
      </c>
      <c r="C359" t="str">
        <f>"17842374766137481"</f>
        <v>17842374766137481</v>
      </c>
      <c r="D359" t="s">
        <v>731</v>
      </c>
      <c r="E359" t="s">
        <v>732</v>
      </c>
      <c r="F359" t="s">
        <v>733</v>
      </c>
      <c r="G359" t="s">
        <v>734</v>
      </c>
    </row>
    <row r="360" spans="1:7" x14ac:dyDescent="0.25">
      <c r="A360">
        <v>3918479248</v>
      </c>
      <c r="B360" t="s">
        <v>730</v>
      </c>
      <c r="C360" t="str">
        <f>"17842374766137481"</f>
        <v>17842374766137481</v>
      </c>
      <c r="D360" t="s">
        <v>731</v>
      </c>
      <c r="E360" t="s">
        <v>732</v>
      </c>
      <c r="F360" t="s">
        <v>733</v>
      </c>
      <c r="G360" t="s">
        <v>734</v>
      </c>
    </row>
    <row r="361" spans="1:7" x14ac:dyDescent="0.25">
      <c r="A361">
        <v>4036502545</v>
      </c>
      <c r="B361" t="s">
        <v>735</v>
      </c>
      <c r="C361" t="str">
        <f>"17896560514214783"</f>
        <v>17896560514214783</v>
      </c>
      <c r="D361" t="s">
        <v>736</v>
      </c>
      <c r="E361" t="s">
        <v>737</v>
      </c>
      <c r="F361" t="s">
        <v>738</v>
      </c>
      <c r="G361" t="s">
        <v>739</v>
      </c>
    </row>
    <row r="362" spans="1:7" x14ac:dyDescent="0.25">
      <c r="A362">
        <v>4036502545</v>
      </c>
      <c r="B362" t="s">
        <v>735</v>
      </c>
      <c r="C362" t="str">
        <f>"17896560514214783"</f>
        <v>17896560514214783</v>
      </c>
      <c r="D362" t="s">
        <v>736</v>
      </c>
      <c r="E362" t="s">
        <v>737</v>
      </c>
      <c r="F362" t="s">
        <v>738</v>
      </c>
      <c r="G362" t="s">
        <v>740</v>
      </c>
    </row>
    <row r="363" spans="1:7" x14ac:dyDescent="0.25">
      <c r="A363">
        <v>4036502545</v>
      </c>
      <c r="B363" t="s">
        <v>735</v>
      </c>
      <c r="C363" t="str">
        <f>"17896560514214783"</f>
        <v>17896560514214783</v>
      </c>
      <c r="D363" t="s">
        <v>736</v>
      </c>
      <c r="E363" t="s">
        <v>737</v>
      </c>
      <c r="F363" t="s">
        <v>738</v>
      </c>
      <c r="G363" t="s">
        <v>739</v>
      </c>
    </row>
    <row r="364" spans="1:7" x14ac:dyDescent="0.25">
      <c r="A364">
        <v>4036502545</v>
      </c>
      <c r="B364" t="s">
        <v>735</v>
      </c>
      <c r="C364" t="str">
        <f>"17894485663209549"</f>
        <v>17894485663209549</v>
      </c>
      <c r="D364" t="s">
        <v>741</v>
      </c>
      <c r="E364" t="s">
        <v>742</v>
      </c>
      <c r="F364" t="s">
        <v>738</v>
      </c>
      <c r="G364" t="s">
        <v>743</v>
      </c>
    </row>
    <row r="365" spans="1:7" x14ac:dyDescent="0.25">
      <c r="A365">
        <v>4036502545</v>
      </c>
      <c r="B365" t="s">
        <v>735</v>
      </c>
      <c r="C365" t="str">
        <f>"17894485663209549"</f>
        <v>17894485663209549</v>
      </c>
      <c r="D365" t="s">
        <v>741</v>
      </c>
      <c r="E365" t="s">
        <v>742</v>
      </c>
      <c r="F365" t="s">
        <v>738</v>
      </c>
      <c r="G365" t="s">
        <v>743</v>
      </c>
    </row>
    <row r="366" spans="1:7" x14ac:dyDescent="0.25">
      <c r="A366">
        <v>3450690077</v>
      </c>
      <c r="B366" t="s">
        <v>744</v>
      </c>
      <c r="C366" t="str">
        <f>"17862397756060458"</f>
        <v>17862397756060458</v>
      </c>
      <c r="D366" t="s">
        <v>679</v>
      </c>
      <c r="E366" t="s">
        <v>745</v>
      </c>
      <c r="F366" t="s">
        <v>746</v>
      </c>
      <c r="G366" t="s">
        <v>747</v>
      </c>
    </row>
    <row r="367" spans="1:7" x14ac:dyDescent="0.25">
      <c r="A367">
        <v>3450690077</v>
      </c>
      <c r="B367" t="s">
        <v>744</v>
      </c>
      <c r="C367" t="str">
        <f>"17862397756060458"</f>
        <v>17862397756060458</v>
      </c>
      <c r="D367" t="s">
        <v>679</v>
      </c>
      <c r="E367" t="s">
        <v>745</v>
      </c>
      <c r="F367" t="s">
        <v>746</v>
      </c>
      <c r="G367" t="s">
        <v>747</v>
      </c>
    </row>
    <row r="368" spans="1:7" x14ac:dyDescent="0.25">
      <c r="A368">
        <v>2280770754</v>
      </c>
      <c r="B368" t="s">
        <v>748</v>
      </c>
      <c r="C368" t="str">
        <f>"17862958804045015"</f>
        <v>17862958804045015</v>
      </c>
      <c r="D368" t="s">
        <v>749</v>
      </c>
      <c r="E368" t="s">
        <v>750</v>
      </c>
      <c r="F368" t="s">
        <v>751</v>
      </c>
      <c r="G368" t="s">
        <v>752</v>
      </c>
    </row>
    <row r="369" spans="1:7" x14ac:dyDescent="0.25">
      <c r="A369">
        <v>2280770754</v>
      </c>
      <c r="B369" t="s">
        <v>748</v>
      </c>
      <c r="C369" t="str">
        <f>"17862958804045015"</f>
        <v>17862958804045015</v>
      </c>
      <c r="D369" t="s">
        <v>749</v>
      </c>
      <c r="E369" t="s">
        <v>750</v>
      </c>
      <c r="F369" t="s">
        <v>751</v>
      </c>
      <c r="G369" t="s">
        <v>752</v>
      </c>
    </row>
    <row r="370" spans="1:7" x14ac:dyDescent="0.25">
      <c r="A370">
        <v>3968461784</v>
      </c>
      <c r="B370" t="s">
        <v>753</v>
      </c>
      <c r="C370" t="str">
        <f>"17842771285176687"</f>
        <v>17842771285176687</v>
      </c>
      <c r="D370" t="s">
        <v>754</v>
      </c>
      <c r="E370" t="s">
        <v>755</v>
      </c>
      <c r="F370" t="s">
        <v>756</v>
      </c>
      <c r="G370" t="s">
        <v>757</v>
      </c>
    </row>
    <row r="371" spans="1:7" x14ac:dyDescent="0.25">
      <c r="A371">
        <v>2125288739</v>
      </c>
      <c r="B371" t="s">
        <v>758</v>
      </c>
      <c r="C371" t="str">
        <f>"17842772317176687"</f>
        <v>17842772317176687</v>
      </c>
      <c r="D371" t="s">
        <v>759</v>
      </c>
      <c r="E371" t="s">
        <v>760</v>
      </c>
      <c r="F371" t="s">
        <v>761</v>
      </c>
      <c r="G371" t="s">
        <v>762</v>
      </c>
    </row>
    <row r="372" spans="1:7" x14ac:dyDescent="0.25">
      <c r="A372">
        <v>3968461784</v>
      </c>
      <c r="B372" t="s">
        <v>753</v>
      </c>
      <c r="C372" t="str">
        <f>"17842771285176687"</f>
        <v>17842771285176687</v>
      </c>
      <c r="D372" t="s">
        <v>754</v>
      </c>
      <c r="E372" t="s">
        <v>755</v>
      </c>
      <c r="F372" t="s">
        <v>756</v>
      </c>
      <c r="G372" t="s">
        <v>757</v>
      </c>
    </row>
    <row r="373" spans="1:7" x14ac:dyDescent="0.25">
      <c r="A373">
        <v>2125288739</v>
      </c>
      <c r="B373" t="s">
        <v>758</v>
      </c>
      <c r="C373" t="str">
        <f>"17842772317176687"</f>
        <v>17842772317176687</v>
      </c>
      <c r="D373" t="s">
        <v>759</v>
      </c>
      <c r="E373" t="s">
        <v>760</v>
      </c>
      <c r="F373" t="s">
        <v>761</v>
      </c>
      <c r="G373" t="s">
        <v>762</v>
      </c>
    </row>
    <row r="374" spans="1:7" x14ac:dyDescent="0.25">
      <c r="A374">
        <v>3620745947</v>
      </c>
      <c r="B374" t="s">
        <v>459</v>
      </c>
      <c r="C374" t="str">
        <f>"17864239771054590"</f>
        <v>17864239771054590</v>
      </c>
      <c r="D374" t="s">
        <v>763</v>
      </c>
      <c r="E374" t="s">
        <v>764</v>
      </c>
      <c r="F374" t="s">
        <v>462</v>
      </c>
      <c r="G374" t="s">
        <v>765</v>
      </c>
    </row>
    <row r="375" spans="1:7" x14ac:dyDescent="0.25">
      <c r="A375">
        <v>21557915</v>
      </c>
      <c r="B375" t="s">
        <v>766</v>
      </c>
      <c r="C375" t="str">
        <f>"17855765608075045"</f>
        <v>17855765608075045</v>
      </c>
      <c r="D375" t="s">
        <v>767</v>
      </c>
      <c r="E375" t="s">
        <v>768</v>
      </c>
      <c r="F375" t="s">
        <v>769</v>
      </c>
      <c r="G375" t="s">
        <v>770</v>
      </c>
    </row>
    <row r="376" spans="1:7" x14ac:dyDescent="0.25">
      <c r="A376">
        <v>1578244190</v>
      </c>
      <c r="B376" t="s">
        <v>771</v>
      </c>
      <c r="C376" t="str">
        <f>"17843685580164781"</f>
        <v>17843685580164781</v>
      </c>
      <c r="D376" t="s">
        <v>82</v>
      </c>
      <c r="E376" t="s">
        <v>772</v>
      </c>
      <c r="F376" t="s">
        <v>773</v>
      </c>
      <c r="G376" t="s">
        <v>774</v>
      </c>
    </row>
    <row r="377" spans="1:7" x14ac:dyDescent="0.25">
      <c r="A377">
        <v>3620745947</v>
      </c>
      <c r="B377" t="s">
        <v>459</v>
      </c>
      <c r="C377" t="str">
        <f>"17864239771054590"</f>
        <v>17864239771054590</v>
      </c>
      <c r="D377" t="s">
        <v>763</v>
      </c>
      <c r="E377" t="s">
        <v>764</v>
      </c>
      <c r="F377" t="s">
        <v>462</v>
      </c>
      <c r="G377" t="s">
        <v>765</v>
      </c>
    </row>
    <row r="378" spans="1:7" x14ac:dyDescent="0.25">
      <c r="A378">
        <v>21557915</v>
      </c>
      <c r="B378" t="s">
        <v>766</v>
      </c>
      <c r="C378" t="str">
        <f>"17855765608075045"</f>
        <v>17855765608075045</v>
      </c>
      <c r="D378" t="s">
        <v>767</v>
      </c>
      <c r="E378" t="s">
        <v>768</v>
      </c>
      <c r="F378" t="s">
        <v>769</v>
      </c>
      <c r="G378" t="s">
        <v>770</v>
      </c>
    </row>
    <row r="379" spans="1:7" x14ac:dyDescent="0.25">
      <c r="A379">
        <v>1578244190</v>
      </c>
      <c r="B379" t="s">
        <v>771</v>
      </c>
      <c r="C379" t="str">
        <f>"17843685580164781"</f>
        <v>17843685580164781</v>
      </c>
      <c r="D379" t="s">
        <v>82</v>
      </c>
      <c r="E379" t="s">
        <v>772</v>
      </c>
      <c r="F379" t="s">
        <v>773</v>
      </c>
      <c r="G379" t="s">
        <v>774</v>
      </c>
    </row>
    <row r="380" spans="1:7" x14ac:dyDescent="0.25">
      <c r="A380">
        <v>1578244190</v>
      </c>
      <c r="B380" t="s">
        <v>771</v>
      </c>
      <c r="C380" t="str">
        <f>"17865379369030671"</f>
        <v>17865379369030671</v>
      </c>
      <c r="D380" t="s">
        <v>775</v>
      </c>
      <c r="E380" t="s">
        <v>776</v>
      </c>
      <c r="F380" t="s">
        <v>773</v>
      </c>
      <c r="G380" t="s">
        <v>777</v>
      </c>
    </row>
    <row r="381" spans="1:7" x14ac:dyDescent="0.25">
      <c r="A381">
        <v>1301092126</v>
      </c>
      <c r="B381" t="s">
        <v>778</v>
      </c>
      <c r="C381" t="str">
        <f>"17855911267075121"</f>
        <v>17855911267075121</v>
      </c>
      <c r="D381" t="s">
        <v>779</v>
      </c>
      <c r="E381" t="s">
        <v>780</v>
      </c>
      <c r="F381" t="s">
        <v>781</v>
      </c>
      <c r="G381" t="s">
        <v>782</v>
      </c>
    </row>
    <row r="382" spans="1:7" x14ac:dyDescent="0.25">
      <c r="A382">
        <v>1578244190</v>
      </c>
      <c r="B382" t="s">
        <v>771</v>
      </c>
      <c r="C382" t="str">
        <f>"17865379369030671"</f>
        <v>17865379369030671</v>
      </c>
      <c r="D382" t="s">
        <v>775</v>
      </c>
      <c r="E382" t="s">
        <v>776</v>
      </c>
      <c r="F382" t="s">
        <v>773</v>
      </c>
      <c r="G382" t="s">
        <v>777</v>
      </c>
    </row>
    <row r="383" spans="1:7" x14ac:dyDescent="0.25">
      <c r="A383">
        <v>1301092126</v>
      </c>
      <c r="B383" t="s">
        <v>778</v>
      </c>
      <c r="C383" t="str">
        <f>"17855911267075121"</f>
        <v>17855911267075121</v>
      </c>
      <c r="D383" t="s">
        <v>779</v>
      </c>
      <c r="E383" t="s">
        <v>780</v>
      </c>
      <c r="F383" t="s">
        <v>781</v>
      </c>
      <c r="G383" t="s">
        <v>782</v>
      </c>
    </row>
    <row r="384" spans="1:7" x14ac:dyDescent="0.25">
      <c r="A384">
        <v>1592908174</v>
      </c>
      <c r="B384" t="s">
        <v>783</v>
      </c>
      <c r="C384" t="str">
        <f>"17860494130271209"</f>
        <v>17860494130271209</v>
      </c>
      <c r="D384" t="s">
        <v>784</v>
      </c>
      <c r="E384" t="s">
        <v>785</v>
      </c>
      <c r="F384" t="s">
        <v>786</v>
      </c>
      <c r="G384" t="s">
        <v>787</v>
      </c>
    </row>
    <row r="385" spans="1:7" x14ac:dyDescent="0.25">
      <c r="A385">
        <v>1592908174</v>
      </c>
      <c r="B385" t="s">
        <v>783</v>
      </c>
      <c r="C385" t="str">
        <f>"17860494130271209"</f>
        <v>17860494130271209</v>
      </c>
      <c r="D385" t="s">
        <v>784</v>
      </c>
      <c r="E385" t="s">
        <v>785</v>
      </c>
      <c r="F385" t="s">
        <v>786</v>
      </c>
      <c r="G385" t="s">
        <v>787</v>
      </c>
    </row>
    <row r="386" spans="1:7" x14ac:dyDescent="0.25">
      <c r="A386">
        <v>2679797051</v>
      </c>
      <c r="B386" t="s">
        <v>788</v>
      </c>
      <c r="C386" t="str">
        <f>"17852604835088846"</f>
        <v>17852604835088846</v>
      </c>
      <c r="D386" t="s">
        <v>789</v>
      </c>
      <c r="E386" t="s">
        <v>790</v>
      </c>
      <c r="F386" t="s">
        <v>791</v>
      </c>
      <c r="G386" t="s">
        <v>792</v>
      </c>
    </row>
    <row r="387" spans="1:7" x14ac:dyDescent="0.25">
      <c r="A387">
        <v>178850275</v>
      </c>
      <c r="B387" t="s">
        <v>793</v>
      </c>
      <c r="C387" t="str">
        <f>"17852628160088846"</f>
        <v>17852628160088846</v>
      </c>
      <c r="D387" t="s">
        <v>359</v>
      </c>
      <c r="E387" t="s">
        <v>794</v>
      </c>
      <c r="F387" t="s">
        <v>795</v>
      </c>
      <c r="G387" t="s">
        <v>796</v>
      </c>
    </row>
    <row r="388" spans="1:7" x14ac:dyDescent="0.25">
      <c r="A388">
        <v>2679797051</v>
      </c>
      <c r="B388" t="s">
        <v>788</v>
      </c>
      <c r="C388" t="str">
        <f>"17852604835088846"</f>
        <v>17852604835088846</v>
      </c>
      <c r="D388" t="s">
        <v>789</v>
      </c>
      <c r="E388" t="s">
        <v>790</v>
      </c>
      <c r="F388" t="s">
        <v>791</v>
      </c>
      <c r="G388" t="s">
        <v>792</v>
      </c>
    </row>
    <row r="389" spans="1:7" x14ac:dyDescent="0.25">
      <c r="A389">
        <v>178850275</v>
      </c>
      <c r="B389" t="s">
        <v>793</v>
      </c>
      <c r="C389" t="str">
        <f>"17852628160088846"</f>
        <v>17852628160088846</v>
      </c>
      <c r="D389" t="s">
        <v>359</v>
      </c>
      <c r="E389" t="s">
        <v>794</v>
      </c>
      <c r="F389" t="s">
        <v>795</v>
      </c>
      <c r="G389" t="s">
        <v>796</v>
      </c>
    </row>
    <row r="390" spans="1:7" x14ac:dyDescent="0.25">
      <c r="A390">
        <v>3250387992</v>
      </c>
      <c r="B390" t="s">
        <v>797</v>
      </c>
      <c r="C390" t="str">
        <f>"17864513827060479"</f>
        <v>17864513827060479</v>
      </c>
      <c r="D390" t="s">
        <v>152</v>
      </c>
      <c r="E390" t="s">
        <v>798</v>
      </c>
      <c r="F390" t="s">
        <v>799</v>
      </c>
      <c r="G390" t="s">
        <v>800</v>
      </c>
    </row>
    <row r="391" spans="1:7" x14ac:dyDescent="0.25">
      <c r="A391">
        <v>3549940102</v>
      </c>
      <c r="B391" t="s">
        <v>801</v>
      </c>
      <c r="C391" t="str">
        <f>"17864894686060479"</f>
        <v>17864894686060479</v>
      </c>
      <c r="D391" t="s">
        <v>775</v>
      </c>
      <c r="E391" t="s">
        <v>802</v>
      </c>
      <c r="F391" t="s">
        <v>803</v>
      </c>
      <c r="G391" t="s">
        <v>804</v>
      </c>
    </row>
    <row r="392" spans="1:7" x14ac:dyDescent="0.25">
      <c r="A392">
        <v>364423548</v>
      </c>
      <c r="B392" t="s">
        <v>805</v>
      </c>
      <c r="C392" t="str">
        <f>"17865135400060479"</f>
        <v>17865135400060479</v>
      </c>
      <c r="D392" t="s">
        <v>806</v>
      </c>
      <c r="E392" t="s">
        <v>807</v>
      </c>
      <c r="F392" t="s">
        <v>808</v>
      </c>
      <c r="G392" t="s">
        <v>809</v>
      </c>
    </row>
    <row r="393" spans="1:7" x14ac:dyDescent="0.25">
      <c r="A393">
        <v>3250387992</v>
      </c>
      <c r="B393" t="s">
        <v>797</v>
      </c>
      <c r="C393" t="str">
        <f>"17864513827060479"</f>
        <v>17864513827060479</v>
      </c>
      <c r="D393" t="s">
        <v>152</v>
      </c>
      <c r="E393" t="s">
        <v>798</v>
      </c>
      <c r="F393" t="s">
        <v>799</v>
      </c>
      <c r="G393" t="s">
        <v>810</v>
      </c>
    </row>
    <row r="394" spans="1:7" x14ac:dyDescent="0.25">
      <c r="A394">
        <v>3549940102</v>
      </c>
      <c r="B394" t="s">
        <v>801</v>
      </c>
      <c r="C394" t="str">
        <f>"17864894686060479"</f>
        <v>17864894686060479</v>
      </c>
      <c r="D394" t="s">
        <v>775</v>
      </c>
      <c r="E394" t="s">
        <v>802</v>
      </c>
      <c r="F394" t="s">
        <v>803</v>
      </c>
      <c r="G394" t="s">
        <v>811</v>
      </c>
    </row>
    <row r="395" spans="1:7" x14ac:dyDescent="0.25">
      <c r="A395">
        <v>364423548</v>
      </c>
      <c r="B395" t="s">
        <v>805</v>
      </c>
      <c r="C395" t="str">
        <f>"17865135400060479"</f>
        <v>17865135400060479</v>
      </c>
      <c r="D395" t="s">
        <v>806</v>
      </c>
      <c r="E395" t="s">
        <v>807</v>
      </c>
      <c r="F395" t="s">
        <v>808</v>
      </c>
      <c r="G395" t="s">
        <v>812</v>
      </c>
    </row>
    <row r="396" spans="1:7" x14ac:dyDescent="0.25">
      <c r="A396">
        <v>3250387992</v>
      </c>
      <c r="B396" t="s">
        <v>797</v>
      </c>
      <c r="C396" t="str">
        <f>"17864513827060479"</f>
        <v>17864513827060479</v>
      </c>
      <c r="D396" t="s">
        <v>152</v>
      </c>
      <c r="E396" t="s">
        <v>798</v>
      </c>
      <c r="F396" t="s">
        <v>799</v>
      </c>
      <c r="G396" t="s">
        <v>800</v>
      </c>
    </row>
    <row r="397" spans="1:7" x14ac:dyDescent="0.25">
      <c r="A397">
        <v>3549940102</v>
      </c>
      <c r="B397" t="s">
        <v>801</v>
      </c>
      <c r="C397" t="str">
        <f>"17864894686060479"</f>
        <v>17864894686060479</v>
      </c>
      <c r="D397" t="s">
        <v>775</v>
      </c>
      <c r="E397" t="s">
        <v>802</v>
      </c>
      <c r="F397" t="s">
        <v>803</v>
      </c>
      <c r="G397" t="s">
        <v>804</v>
      </c>
    </row>
    <row r="398" spans="1:7" x14ac:dyDescent="0.25">
      <c r="A398">
        <v>364423548</v>
      </c>
      <c r="B398" t="s">
        <v>805</v>
      </c>
      <c r="C398" t="str">
        <f>"17865135400060479"</f>
        <v>17865135400060479</v>
      </c>
      <c r="D398" t="s">
        <v>806</v>
      </c>
      <c r="E398" t="s">
        <v>807</v>
      </c>
      <c r="F398" t="s">
        <v>808</v>
      </c>
      <c r="G398" t="s">
        <v>809</v>
      </c>
    </row>
    <row r="399" spans="1:7" x14ac:dyDescent="0.25">
      <c r="A399">
        <v>2209787919</v>
      </c>
      <c r="B399" t="s">
        <v>813</v>
      </c>
      <c r="C399" t="str">
        <f>"17842981216176754"</f>
        <v>17842981216176754</v>
      </c>
      <c r="D399" t="s">
        <v>542</v>
      </c>
      <c r="E399" t="s">
        <v>814</v>
      </c>
      <c r="F399" t="s">
        <v>815</v>
      </c>
      <c r="G399" t="s">
        <v>816</v>
      </c>
    </row>
    <row r="400" spans="1:7" x14ac:dyDescent="0.25">
      <c r="A400">
        <v>3549940102</v>
      </c>
      <c r="B400" t="s">
        <v>801</v>
      </c>
      <c r="C400" t="str">
        <f>"17843194486176754"</f>
        <v>17843194486176754</v>
      </c>
      <c r="D400" t="s">
        <v>817</v>
      </c>
      <c r="E400" t="s">
        <v>818</v>
      </c>
      <c r="F400" t="s">
        <v>803</v>
      </c>
      <c r="G400" t="s">
        <v>819</v>
      </c>
    </row>
    <row r="401" spans="1:7" x14ac:dyDescent="0.25">
      <c r="A401">
        <v>364423548</v>
      </c>
      <c r="B401" t="s">
        <v>805</v>
      </c>
      <c r="C401" t="str">
        <f>"17843355808176754"</f>
        <v>17843355808176754</v>
      </c>
      <c r="D401" t="s">
        <v>820</v>
      </c>
      <c r="E401" t="s">
        <v>821</v>
      </c>
      <c r="F401" t="s">
        <v>808</v>
      </c>
      <c r="G401" t="s">
        <v>822</v>
      </c>
    </row>
    <row r="402" spans="1:7" x14ac:dyDescent="0.25">
      <c r="A402">
        <v>2209787919</v>
      </c>
      <c r="B402" t="s">
        <v>813</v>
      </c>
      <c r="C402" t="str">
        <f>"17842981216176754"</f>
        <v>17842981216176754</v>
      </c>
      <c r="D402" t="s">
        <v>542</v>
      </c>
      <c r="E402" t="s">
        <v>814</v>
      </c>
      <c r="F402" t="s">
        <v>815</v>
      </c>
      <c r="G402" t="s">
        <v>816</v>
      </c>
    </row>
    <row r="403" spans="1:7" x14ac:dyDescent="0.25">
      <c r="A403">
        <v>3549940102</v>
      </c>
      <c r="B403" t="s">
        <v>801</v>
      </c>
      <c r="C403" t="str">
        <f>"17843194486176754"</f>
        <v>17843194486176754</v>
      </c>
      <c r="D403" t="s">
        <v>817</v>
      </c>
      <c r="E403" t="s">
        <v>818</v>
      </c>
      <c r="F403" t="s">
        <v>803</v>
      </c>
      <c r="G403" t="s">
        <v>819</v>
      </c>
    </row>
    <row r="404" spans="1:7" x14ac:dyDescent="0.25">
      <c r="A404">
        <v>364423548</v>
      </c>
      <c r="B404" t="s">
        <v>805</v>
      </c>
      <c r="C404" t="str">
        <f>"17843355808176754"</f>
        <v>17843355808176754</v>
      </c>
      <c r="D404" t="s">
        <v>820</v>
      </c>
      <c r="E404" t="s">
        <v>821</v>
      </c>
      <c r="F404" t="s">
        <v>808</v>
      </c>
      <c r="G404" t="s">
        <v>822</v>
      </c>
    </row>
    <row r="405" spans="1:7" x14ac:dyDescent="0.25">
      <c r="A405">
        <v>2209787919</v>
      </c>
      <c r="B405" t="s">
        <v>813</v>
      </c>
      <c r="C405" t="str">
        <f>"17842981216176754"</f>
        <v>17842981216176754</v>
      </c>
      <c r="D405" t="s">
        <v>542</v>
      </c>
      <c r="E405" t="s">
        <v>814</v>
      </c>
      <c r="F405" t="s">
        <v>815</v>
      </c>
      <c r="G405" t="s">
        <v>816</v>
      </c>
    </row>
    <row r="406" spans="1:7" x14ac:dyDescent="0.25">
      <c r="A406">
        <v>3549940102</v>
      </c>
      <c r="B406" t="s">
        <v>801</v>
      </c>
      <c r="C406" t="str">
        <f>"17843194486176754"</f>
        <v>17843194486176754</v>
      </c>
      <c r="D406" t="s">
        <v>817</v>
      </c>
      <c r="E406" t="s">
        <v>818</v>
      </c>
      <c r="F406" t="s">
        <v>803</v>
      </c>
      <c r="G406" t="s">
        <v>819</v>
      </c>
    </row>
    <row r="407" spans="1:7" x14ac:dyDescent="0.25">
      <c r="A407">
        <v>364423548</v>
      </c>
      <c r="B407" t="s">
        <v>805</v>
      </c>
      <c r="C407" t="str">
        <f>"17843355808176754"</f>
        <v>17843355808176754</v>
      </c>
      <c r="D407" t="s">
        <v>820</v>
      </c>
      <c r="E407" t="s">
        <v>821</v>
      </c>
      <c r="F407" t="s">
        <v>808</v>
      </c>
      <c r="G407" t="s">
        <v>822</v>
      </c>
    </row>
    <row r="408" spans="1:7" x14ac:dyDescent="0.25">
      <c r="A408">
        <v>4189328287</v>
      </c>
      <c r="B408" t="s">
        <v>823</v>
      </c>
      <c r="C408" t="str">
        <f>"17843706898285779"</f>
        <v>17843706898285779</v>
      </c>
      <c r="D408" t="s">
        <v>824</v>
      </c>
      <c r="E408" t="s">
        <v>825</v>
      </c>
      <c r="F408" t="s">
        <v>826</v>
      </c>
      <c r="G408" t="s">
        <v>827</v>
      </c>
    </row>
    <row r="409" spans="1:7" x14ac:dyDescent="0.25">
      <c r="A409">
        <v>6701090532</v>
      </c>
      <c r="B409" t="s">
        <v>828</v>
      </c>
      <c r="C409" t="str">
        <f>"17967223447041754"</f>
        <v>17967223447041754</v>
      </c>
      <c r="D409" t="s">
        <v>829</v>
      </c>
      <c r="E409" t="s">
        <v>830</v>
      </c>
      <c r="F409" t="s">
        <v>831</v>
      </c>
      <c r="G409" t="s">
        <v>832</v>
      </c>
    </row>
    <row r="410" spans="1:7" x14ac:dyDescent="0.25">
      <c r="A410">
        <v>4189328287</v>
      </c>
      <c r="B410" t="s">
        <v>823</v>
      </c>
      <c r="C410" t="str">
        <f>"17843706898285779"</f>
        <v>17843706898285779</v>
      </c>
      <c r="D410" t="s">
        <v>824</v>
      </c>
      <c r="E410" t="s">
        <v>825</v>
      </c>
      <c r="F410" t="s">
        <v>826</v>
      </c>
      <c r="G410" t="s">
        <v>827</v>
      </c>
    </row>
    <row r="411" spans="1:7" x14ac:dyDescent="0.25">
      <c r="A411">
        <v>6701090532</v>
      </c>
      <c r="B411" t="s">
        <v>828</v>
      </c>
      <c r="C411" t="str">
        <f>"17967223447041754"</f>
        <v>17967223447041754</v>
      </c>
      <c r="D411" t="s">
        <v>829</v>
      </c>
      <c r="E411" t="s">
        <v>830</v>
      </c>
      <c r="F411" t="s">
        <v>831</v>
      </c>
      <c r="G411" t="s">
        <v>832</v>
      </c>
    </row>
    <row r="412" spans="1:7" x14ac:dyDescent="0.25">
      <c r="A412">
        <v>246548999</v>
      </c>
      <c r="B412" t="s">
        <v>833</v>
      </c>
      <c r="C412" t="str">
        <f>"17852687335087376"</f>
        <v>17852687335087376</v>
      </c>
      <c r="D412" t="s">
        <v>834</v>
      </c>
      <c r="E412" t="s">
        <v>835</v>
      </c>
      <c r="F412" t="s">
        <v>836</v>
      </c>
      <c r="G412" t="s">
        <v>837</v>
      </c>
    </row>
    <row r="413" spans="1:7" x14ac:dyDescent="0.25">
      <c r="A413">
        <v>186141661</v>
      </c>
      <c r="B413" t="s">
        <v>838</v>
      </c>
      <c r="C413" t="str">
        <f>"17852714248087376"</f>
        <v>17852714248087376</v>
      </c>
      <c r="D413" t="s">
        <v>23</v>
      </c>
      <c r="E413" t="s">
        <v>839</v>
      </c>
      <c r="F413" t="s">
        <v>840</v>
      </c>
      <c r="G413" t="s">
        <v>841</v>
      </c>
    </row>
    <row r="414" spans="1:7" x14ac:dyDescent="0.25">
      <c r="A414">
        <v>1656818837</v>
      </c>
      <c r="B414" t="s">
        <v>842</v>
      </c>
      <c r="C414" t="str">
        <f>"17852837689087376"</f>
        <v>17852837689087376</v>
      </c>
      <c r="D414" t="s">
        <v>843</v>
      </c>
      <c r="E414" t="s">
        <v>844</v>
      </c>
      <c r="F414" t="s">
        <v>845</v>
      </c>
      <c r="G414" t="s">
        <v>846</v>
      </c>
    </row>
    <row r="415" spans="1:7" x14ac:dyDescent="0.25">
      <c r="A415">
        <v>791793174</v>
      </c>
      <c r="B415" t="s">
        <v>847</v>
      </c>
      <c r="C415" t="str">
        <f>"17852841835087376"</f>
        <v>17852841835087376</v>
      </c>
      <c r="D415" t="s">
        <v>848</v>
      </c>
      <c r="E415" t="s">
        <v>849</v>
      </c>
      <c r="F415" t="s">
        <v>850</v>
      </c>
      <c r="G415" t="s">
        <v>851</v>
      </c>
    </row>
    <row r="416" spans="1:7" x14ac:dyDescent="0.25">
      <c r="A416">
        <v>3549940102</v>
      </c>
      <c r="B416" t="s">
        <v>801</v>
      </c>
      <c r="C416" t="str">
        <f>"17852902657087376"</f>
        <v>17852902657087376</v>
      </c>
      <c r="D416" t="s">
        <v>852</v>
      </c>
      <c r="E416" t="s">
        <v>853</v>
      </c>
      <c r="F416" t="s">
        <v>803</v>
      </c>
      <c r="G416" t="s">
        <v>854</v>
      </c>
    </row>
    <row r="417" spans="1:7" x14ac:dyDescent="0.25">
      <c r="A417">
        <v>2200279087</v>
      </c>
      <c r="B417" t="s">
        <v>855</v>
      </c>
      <c r="C417" t="str">
        <f>"17852920567087376"</f>
        <v>17852920567087376</v>
      </c>
      <c r="D417" t="s">
        <v>856</v>
      </c>
      <c r="E417" t="s">
        <v>857</v>
      </c>
      <c r="F417" t="s">
        <v>858</v>
      </c>
      <c r="G417" t="s">
        <v>859</v>
      </c>
    </row>
    <row r="418" spans="1:7" x14ac:dyDescent="0.25">
      <c r="A418">
        <v>19146216</v>
      </c>
      <c r="B418" t="s">
        <v>860</v>
      </c>
      <c r="C418" t="str">
        <f>"17852941276087376"</f>
        <v>17852941276087376</v>
      </c>
      <c r="D418" t="s">
        <v>861</v>
      </c>
      <c r="E418" t="s">
        <v>862</v>
      </c>
      <c r="F418" t="s">
        <v>863</v>
      </c>
      <c r="G418" t="s">
        <v>864</v>
      </c>
    </row>
    <row r="419" spans="1:7" x14ac:dyDescent="0.25">
      <c r="A419">
        <v>30856065</v>
      </c>
      <c r="B419" t="s">
        <v>865</v>
      </c>
      <c r="C419" t="str">
        <f>"17853014641087376"</f>
        <v>17853014641087376</v>
      </c>
      <c r="D419" t="s">
        <v>152</v>
      </c>
      <c r="E419" t="s">
        <v>866</v>
      </c>
      <c r="F419" t="s">
        <v>867</v>
      </c>
      <c r="G419" t="s">
        <v>868</v>
      </c>
    </row>
    <row r="420" spans="1:7" x14ac:dyDescent="0.25">
      <c r="A420">
        <v>364423548</v>
      </c>
      <c r="B420" t="s">
        <v>805</v>
      </c>
      <c r="C420" t="str">
        <f>"17853086755087376"</f>
        <v>17853086755087376</v>
      </c>
      <c r="D420" t="s">
        <v>152</v>
      </c>
      <c r="E420" t="s">
        <v>869</v>
      </c>
      <c r="F420" t="s">
        <v>808</v>
      </c>
      <c r="G420" t="s">
        <v>870</v>
      </c>
    </row>
    <row r="421" spans="1:7" x14ac:dyDescent="0.25">
      <c r="A421">
        <v>246548999</v>
      </c>
      <c r="B421" t="s">
        <v>833</v>
      </c>
      <c r="C421" t="str">
        <f>"17852687335087376"</f>
        <v>17852687335087376</v>
      </c>
      <c r="D421" t="s">
        <v>834</v>
      </c>
      <c r="E421" t="s">
        <v>835</v>
      </c>
      <c r="F421" t="s">
        <v>836</v>
      </c>
      <c r="G421" t="s">
        <v>837</v>
      </c>
    </row>
    <row r="422" spans="1:7" x14ac:dyDescent="0.25">
      <c r="A422">
        <v>186141661</v>
      </c>
      <c r="B422" t="s">
        <v>838</v>
      </c>
      <c r="C422" t="str">
        <f>"17852714248087376"</f>
        <v>17852714248087376</v>
      </c>
      <c r="D422" t="s">
        <v>23</v>
      </c>
      <c r="E422" t="s">
        <v>839</v>
      </c>
      <c r="F422" t="s">
        <v>840</v>
      </c>
      <c r="G422" t="s">
        <v>841</v>
      </c>
    </row>
    <row r="423" spans="1:7" x14ac:dyDescent="0.25">
      <c r="A423">
        <v>1656818837</v>
      </c>
      <c r="B423" t="s">
        <v>842</v>
      </c>
      <c r="C423" t="str">
        <f>"17852837689087376"</f>
        <v>17852837689087376</v>
      </c>
      <c r="D423" t="s">
        <v>843</v>
      </c>
      <c r="E423" t="s">
        <v>844</v>
      </c>
      <c r="F423" t="s">
        <v>845</v>
      </c>
      <c r="G423" t="s">
        <v>846</v>
      </c>
    </row>
    <row r="424" spans="1:7" x14ac:dyDescent="0.25">
      <c r="A424">
        <v>791793174</v>
      </c>
      <c r="B424" t="s">
        <v>847</v>
      </c>
      <c r="C424" t="str">
        <f>"17852841835087376"</f>
        <v>17852841835087376</v>
      </c>
      <c r="D424" t="s">
        <v>848</v>
      </c>
      <c r="E424" t="s">
        <v>849</v>
      </c>
      <c r="F424" t="s">
        <v>850</v>
      </c>
      <c r="G424" t="s">
        <v>851</v>
      </c>
    </row>
    <row r="425" spans="1:7" x14ac:dyDescent="0.25">
      <c r="A425">
        <v>3549940102</v>
      </c>
      <c r="B425" t="s">
        <v>801</v>
      </c>
      <c r="C425" t="str">
        <f>"17852902657087376"</f>
        <v>17852902657087376</v>
      </c>
      <c r="D425" t="s">
        <v>852</v>
      </c>
      <c r="E425" t="s">
        <v>853</v>
      </c>
      <c r="F425" t="s">
        <v>803</v>
      </c>
      <c r="G425" t="s">
        <v>854</v>
      </c>
    </row>
    <row r="426" spans="1:7" x14ac:dyDescent="0.25">
      <c r="A426">
        <v>2200279087</v>
      </c>
      <c r="B426" t="s">
        <v>855</v>
      </c>
      <c r="C426" t="str">
        <f>"17852920567087376"</f>
        <v>17852920567087376</v>
      </c>
      <c r="D426" t="s">
        <v>856</v>
      </c>
      <c r="E426" t="s">
        <v>857</v>
      </c>
      <c r="F426" t="s">
        <v>858</v>
      </c>
      <c r="G426" t="s">
        <v>859</v>
      </c>
    </row>
    <row r="427" spans="1:7" x14ac:dyDescent="0.25">
      <c r="A427">
        <v>19146216</v>
      </c>
      <c r="B427" t="s">
        <v>860</v>
      </c>
      <c r="C427" t="str">
        <f>"17852941276087376"</f>
        <v>17852941276087376</v>
      </c>
      <c r="D427" t="s">
        <v>861</v>
      </c>
      <c r="E427" t="s">
        <v>862</v>
      </c>
      <c r="F427" t="s">
        <v>863</v>
      </c>
      <c r="G427" t="s">
        <v>864</v>
      </c>
    </row>
    <row r="428" spans="1:7" x14ac:dyDescent="0.25">
      <c r="A428">
        <v>30856065</v>
      </c>
      <c r="B428" t="s">
        <v>865</v>
      </c>
      <c r="C428" t="str">
        <f>"17853014641087376"</f>
        <v>17853014641087376</v>
      </c>
      <c r="D428" t="s">
        <v>152</v>
      </c>
      <c r="E428" t="s">
        <v>866</v>
      </c>
      <c r="F428" t="s">
        <v>867</v>
      </c>
      <c r="G428" t="s">
        <v>868</v>
      </c>
    </row>
    <row r="429" spans="1:7" x14ac:dyDescent="0.25">
      <c r="A429">
        <v>364423548</v>
      </c>
      <c r="B429" t="s">
        <v>805</v>
      </c>
      <c r="C429" t="str">
        <f>"17853086755087376"</f>
        <v>17853086755087376</v>
      </c>
      <c r="D429" t="s">
        <v>152</v>
      </c>
      <c r="E429" t="s">
        <v>869</v>
      </c>
      <c r="F429" t="s">
        <v>808</v>
      </c>
      <c r="G429" t="s">
        <v>870</v>
      </c>
    </row>
    <row r="430" spans="1:7" x14ac:dyDescent="0.25">
      <c r="A430">
        <v>2317683259</v>
      </c>
      <c r="B430" t="s">
        <v>871</v>
      </c>
      <c r="C430" t="str">
        <f>"17843398345139147"</f>
        <v>17843398345139147</v>
      </c>
      <c r="D430" t="s">
        <v>872</v>
      </c>
      <c r="E430" t="s">
        <v>873</v>
      </c>
      <c r="F430" t="s">
        <v>874</v>
      </c>
      <c r="G430" t="s">
        <v>875</v>
      </c>
    </row>
    <row r="431" spans="1:7" x14ac:dyDescent="0.25">
      <c r="A431">
        <v>2821539521</v>
      </c>
      <c r="B431" t="s">
        <v>876</v>
      </c>
      <c r="C431" t="str">
        <f>"17843428879139147"</f>
        <v>17843428879139147</v>
      </c>
      <c r="D431" t="s">
        <v>877</v>
      </c>
      <c r="E431" t="s">
        <v>878</v>
      </c>
      <c r="F431" t="s">
        <v>879</v>
      </c>
      <c r="G431" t="s">
        <v>880</v>
      </c>
    </row>
    <row r="432" spans="1:7" x14ac:dyDescent="0.25">
      <c r="A432">
        <v>2317683259</v>
      </c>
      <c r="B432" t="s">
        <v>871</v>
      </c>
      <c r="C432" t="str">
        <f>"17843398345139147"</f>
        <v>17843398345139147</v>
      </c>
      <c r="D432" t="s">
        <v>872</v>
      </c>
      <c r="E432" t="s">
        <v>873</v>
      </c>
      <c r="F432" t="s">
        <v>874</v>
      </c>
      <c r="G432" t="s">
        <v>875</v>
      </c>
    </row>
    <row r="433" spans="1:7" x14ac:dyDescent="0.25">
      <c r="A433">
        <v>2821539521</v>
      </c>
      <c r="B433" t="s">
        <v>876</v>
      </c>
      <c r="C433" t="str">
        <f>"17843428879139147"</f>
        <v>17843428879139147</v>
      </c>
      <c r="D433" t="s">
        <v>877</v>
      </c>
      <c r="E433" t="s">
        <v>878</v>
      </c>
      <c r="F433" t="s">
        <v>879</v>
      </c>
      <c r="G433" t="s">
        <v>880</v>
      </c>
    </row>
    <row r="434" spans="1:7" x14ac:dyDescent="0.25">
      <c r="A434">
        <v>248706928</v>
      </c>
      <c r="B434" t="s">
        <v>881</v>
      </c>
      <c r="C434" t="str">
        <f>"17900213863215219"</f>
        <v>17900213863215219</v>
      </c>
      <c r="D434" t="s">
        <v>882</v>
      </c>
      <c r="E434" t="s">
        <v>883</v>
      </c>
      <c r="F434" t="s">
        <v>884</v>
      </c>
      <c r="G434" t="s">
        <v>885</v>
      </c>
    </row>
    <row r="435" spans="1:7" x14ac:dyDescent="0.25">
      <c r="A435">
        <v>248706928</v>
      </c>
      <c r="B435" t="s">
        <v>881</v>
      </c>
      <c r="C435" t="str">
        <f>"17900213863215219"</f>
        <v>17900213863215219</v>
      </c>
      <c r="D435" t="s">
        <v>882</v>
      </c>
      <c r="E435" t="s">
        <v>883</v>
      </c>
      <c r="F435" t="s">
        <v>884</v>
      </c>
      <c r="G435" t="s">
        <v>885</v>
      </c>
    </row>
    <row r="436" spans="1:7" x14ac:dyDescent="0.25">
      <c r="A436">
        <v>3038791260</v>
      </c>
      <c r="B436" t="s">
        <v>886</v>
      </c>
      <c r="C436" t="str">
        <f>"17844017173173538"</f>
        <v>17844017173173538</v>
      </c>
      <c r="D436" t="s">
        <v>221</v>
      </c>
      <c r="E436" t="s">
        <v>887</v>
      </c>
      <c r="F436" t="s">
        <v>888</v>
      </c>
      <c r="G436" t="s">
        <v>889</v>
      </c>
    </row>
    <row r="437" spans="1:7" x14ac:dyDescent="0.25">
      <c r="A437">
        <v>3038791260</v>
      </c>
      <c r="B437" t="s">
        <v>886</v>
      </c>
      <c r="C437" t="str">
        <f>"17844017173173538"</f>
        <v>17844017173173538</v>
      </c>
      <c r="D437" t="s">
        <v>221</v>
      </c>
      <c r="E437" t="s">
        <v>887</v>
      </c>
      <c r="F437" t="s">
        <v>888</v>
      </c>
      <c r="G437" t="s">
        <v>889</v>
      </c>
    </row>
    <row r="438" spans="1:7" x14ac:dyDescent="0.25">
      <c r="A438">
        <v>18436072</v>
      </c>
      <c r="B438" t="s">
        <v>890</v>
      </c>
      <c r="C438" t="str">
        <f>"17856447949074083"</f>
        <v>17856447949074083</v>
      </c>
      <c r="D438" t="s">
        <v>891</v>
      </c>
      <c r="E438" t="s">
        <v>892</v>
      </c>
      <c r="F438" t="s">
        <v>893</v>
      </c>
      <c r="G438" t="s">
        <v>894</v>
      </c>
    </row>
    <row r="439" spans="1:7" x14ac:dyDescent="0.25">
      <c r="A439">
        <v>18436072</v>
      </c>
      <c r="B439" t="s">
        <v>890</v>
      </c>
      <c r="C439" t="str">
        <f>"17856447949074083"</f>
        <v>17856447949074083</v>
      </c>
      <c r="D439" t="s">
        <v>891</v>
      </c>
      <c r="E439" t="s">
        <v>892</v>
      </c>
      <c r="F439" t="s">
        <v>893</v>
      </c>
      <c r="G439" t="s">
        <v>894</v>
      </c>
    </row>
    <row r="440" spans="1:7" x14ac:dyDescent="0.25">
      <c r="A440">
        <v>270819701</v>
      </c>
      <c r="B440" t="s">
        <v>895</v>
      </c>
      <c r="C440" t="str">
        <f>"17859140608064902"</f>
        <v>17859140608064902</v>
      </c>
      <c r="D440" t="s">
        <v>896</v>
      </c>
      <c r="E440" t="s">
        <v>897</v>
      </c>
      <c r="F440" t="s">
        <v>898</v>
      </c>
      <c r="G440" t="s">
        <v>899</v>
      </c>
    </row>
    <row r="441" spans="1:7" x14ac:dyDescent="0.25">
      <c r="A441">
        <v>270819701</v>
      </c>
      <c r="B441" t="s">
        <v>895</v>
      </c>
      <c r="C441" t="str">
        <f>"17859140608064902"</f>
        <v>17859140608064902</v>
      </c>
      <c r="D441" t="s">
        <v>896</v>
      </c>
      <c r="E441" t="s">
        <v>897</v>
      </c>
      <c r="F441" t="s">
        <v>898</v>
      </c>
      <c r="G441" t="s">
        <v>899</v>
      </c>
    </row>
    <row r="442" spans="1:7" x14ac:dyDescent="0.25">
      <c r="A442">
        <v>2067666645</v>
      </c>
      <c r="B442" t="s">
        <v>900</v>
      </c>
      <c r="C442" t="str">
        <f>"17864564086032570"</f>
        <v>17864564086032570</v>
      </c>
      <c r="D442" t="s">
        <v>901</v>
      </c>
      <c r="E442" t="s">
        <v>902</v>
      </c>
      <c r="F442" t="s">
        <v>903</v>
      </c>
      <c r="G442" t="s">
        <v>904</v>
      </c>
    </row>
    <row r="443" spans="1:7" x14ac:dyDescent="0.25">
      <c r="A443">
        <v>22651502</v>
      </c>
      <c r="B443" t="s">
        <v>449</v>
      </c>
      <c r="C443" t="str">
        <f>"17843888317156725"</f>
        <v>17843888317156725</v>
      </c>
      <c r="D443" t="s">
        <v>759</v>
      </c>
      <c r="E443" t="s">
        <v>905</v>
      </c>
      <c r="F443" t="s">
        <v>452</v>
      </c>
      <c r="G443" t="s">
        <v>906</v>
      </c>
    </row>
    <row r="444" spans="1:7" x14ac:dyDescent="0.25">
      <c r="A444">
        <v>1301382441</v>
      </c>
      <c r="B444" t="s">
        <v>907</v>
      </c>
      <c r="C444" t="str">
        <f>"17843935534193436"</f>
        <v>17843935534193436</v>
      </c>
      <c r="D444" t="s">
        <v>908</v>
      </c>
      <c r="E444" t="s">
        <v>909</v>
      </c>
      <c r="F444" t="s">
        <v>910</v>
      </c>
      <c r="G444" t="s">
        <v>911</v>
      </c>
    </row>
    <row r="445" spans="1:7" x14ac:dyDescent="0.25">
      <c r="A445">
        <v>2067666645</v>
      </c>
      <c r="B445" t="s">
        <v>900</v>
      </c>
      <c r="C445" t="str">
        <f>"17864564086032570"</f>
        <v>17864564086032570</v>
      </c>
      <c r="D445" t="s">
        <v>901</v>
      </c>
      <c r="E445" t="s">
        <v>902</v>
      </c>
      <c r="F445" t="s">
        <v>903</v>
      </c>
      <c r="G445" t="s">
        <v>904</v>
      </c>
    </row>
    <row r="446" spans="1:7" x14ac:dyDescent="0.25">
      <c r="A446">
        <v>22651502</v>
      </c>
      <c r="B446" t="s">
        <v>449</v>
      </c>
      <c r="C446" t="str">
        <f>"17843888317156725"</f>
        <v>17843888317156725</v>
      </c>
      <c r="D446" t="s">
        <v>759</v>
      </c>
      <c r="E446" t="s">
        <v>905</v>
      </c>
      <c r="F446" t="s">
        <v>452</v>
      </c>
      <c r="G446" t="s">
        <v>906</v>
      </c>
    </row>
    <row r="447" spans="1:7" x14ac:dyDescent="0.25">
      <c r="A447">
        <v>1301382441</v>
      </c>
      <c r="B447" t="s">
        <v>907</v>
      </c>
      <c r="C447" t="str">
        <f>"17843935534193436"</f>
        <v>17843935534193436</v>
      </c>
      <c r="D447" t="s">
        <v>908</v>
      </c>
      <c r="E447" t="s">
        <v>909</v>
      </c>
      <c r="F447" t="s">
        <v>910</v>
      </c>
      <c r="G447" t="s">
        <v>911</v>
      </c>
    </row>
    <row r="448" spans="1:7" x14ac:dyDescent="0.25">
      <c r="A448">
        <v>3568919891</v>
      </c>
      <c r="B448" t="s">
        <v>912</v>
      </c>
      <c r="C448" t="str">
        <f>"17855274805114986"</f>
        <v>17855274805114986</v>
      </c>
      <c r="D448" t="s">
        <v>913</v>
      </c>
      <c r="E448" t="s">
        <v>914</v>
      </c>
      <c r="F448" t="s">
        <v>915</v>
      </c>
      <c r="G448" t="s">
        <v>916</v>
      </c>
    </row>
    <row r="449" spans="1:7" x14ac:dyDescent="0.25">
      <c r="A449">
        <v>3568919891</v>
      </c>
      <c r="B449" t="s">
        <v>912</v>
      </c>
      <c r="C449" t="str">
        <f>"17855274805114986"</f>
        <v>17855274805114986</v>
      </c>
      <c r="D449" t="s">
        <v>913</v>
      </c>
      <c r="E449" t="s">
        <v>914</v>
      </c>
      <c r="F449" t="s">
        <v>915</v>
      </c>
      <c r="G449" t="s">
        <v>916</v>
      </c>
    </row>
    <row r="450" spans="1:7" x14ac:dyDescent="0.25">
      <c r="A450">
        <v>3549940102</v>
      </c>
      <c r="B450" t="s">
        <v>801</v>
      </c>
      <c r="C450" t="str">
        <f>"17865388084003927"</f>
        <v>17865388084003927</v>
      </c>
      <c r="D450" t="s">
        <v>152</v>
      </c>
      <c r="E450" t="s">
        <v>917</v>
      </c>
      <c r="F450" t="s">
        <v>803</v>
      </c>
      <c r="G450" t="s">
        <v>918</v>
      </c>
    </row>
    <row r="451" spans="1:7" x14ac:dyDescent="0.25">
      <c r="A451">
        <v>5570683761</v>
      </c>
      <c r="B451" t="s">
        <v>919</v>
      </c>
      <c r="C451" t="str">
        <f>"17957554306105163"</f>
        <v>17957554306105163</v>
      </c>
      <c r="D451" t="s">
        <v>920</v>
      </c>
      <c r="E451" t="s">
        <v>921</v>
      </c>
      <c r="F451" t="s">
        <v>922</v>
      </c>
      <c r="G451" t="s">
        <v>923</v>
      </c>
    </row>
    <row r="452" spans="1:7" x14ac:dyDescent="0.25">
      <c r="A452">
        <v>5570683761</v>
      </c>
      <c r="B452" t="s">
        <v>919</v>
      </c>
      <c r="C452" t="str">
        <f>"17957554306105163"</f>
        <v>17957554306105163</v>
      </c>
      <c r="D452" t="s">
        <v>920</v>
      </c>
      <c r="E452" t="s">
        <v>921</v>
      </c>
      <c r="F452" t="s">
        <v>922</v>
      </c>
      <c r="G452" t="s">
        <v>923</v>
      </c>
    </row>
    <row r="453" spans="1:7" x14ac:dyDescent="0.25">
      <c r="A453">
        <v>5570683761</v>
      </c>
      <c r="B453" t="s">
        <v>919</v>
      </c>
      <c r="C453" t="str">
        <f>"17957554306105163"</f>
        <v>17957554306105163</v>
      </c>
      <c r="D453" t="s">
        <v>920</v>
      </c>
      <c r="E453" t="s">
        <v>921</v>
      </c>
      <c r="F453" t="s">
        <v>922</v>
      </c>
      <c r="G453" t="s">
        <v>923</v>
      </c>
    </row>
    <row r="454" spans="1:7" x14ac:dyDescent="0.25">
      <c r="A454">
        <v>53471757</v>
      </c>
      <c r="B454" t="s">
        <v>924</v>
      </c>
      <c r="C454" t="str">
        <f>"17865065569273729"</f>
        <v>17865065569273729</v>
      </c>
      <c r="D454" t="s">
        <v>207</v>
      </c>
      <c r="E454" t="s">
        <v>925</v>
      </c>
      <c r="F454" t="s">
        <v>926</v>
      </c>
      <c r="G454" t="s">
        <v>927</v>
      </c>
    </row>
    <row r="455" spans="1:7" x14ac:dyDescent="0.25">
      <c r="A455">
        <v>53471757</v>
      </c>
      <c r="B455" t="s">
        <v>924</v>
      </c>
      <c r="C455" t="str">
        <f>"17865065569273729"</f>
        <v>17865065569273729</v>
      </c>
      <c r="D455" t="s">
        <v>207</v>
      </c>
      <c r="E455" t="s">
        <v>925</v>
      </c>
      <c r="F455" t="s">
        <v>926</v>
      </c>
      <c r="G455" t="s">
        <v>928</v>
      </c>
    </row>
    <row r="456" spans="1:7" x14ac:dyDescent="0.25">
      <c r="A456">
        <v>29327832</v>
      </c>
      <c r="B456" t="s">
        <v>929</v>
      </c>
      <c r="C456" t="str">
        <f>"17975760508017337"</f>
        <v>17975760508017337</v>
      </c>
      <c r="D456" t="s">
        <v>930</v>
      </c>
      <c r="E456" t="s">
        <v>931</v>
      </c>
      <c r="F456" t="s">
        <v>932</v>
      </c>
      <c r="G456" t="s">
        <v>933</v>
      </c>
    </row>
    <row r="457" spans="1:7" x14ac:dyDescent="0.25">
      <c r="A457">
        <v>29327832</v>
      </c>
      <c r="B457" t="s">
        <v>929</v>
      </c>
      <c r="C457" t="str">
        <f>"17975760508017337"</f>
        <v>17975760508017337</v>
      </c>
      <c r="D457" t="s">
        <v>930</v>
      </c>
      <c r="E457" t="s">
        <v>931</v>
      </c>
      <c r="F457" t="s">
        <v>932</v>
      </c>
      <c r="G457" t="s">
        <v>933</v>
      </c>
    </row>
    <row r="458" spans="1:7" x14ac:dyDescent="0.25">
      <c r="A458">
        <v>214268085</v>
      </c>
      <c r="B458" t="s">
        <v>934</v>
      </c>
      <c r="C458" t="str">
        <f>"17865716836019665"</f>
        <v>17865716836019665</v>
      </c>
      <c r="D458" t="s">
        <v>935</v>
      </c>
      <c r="E458" t="s">
        <v>936</v>
      </c>
      <c r="F458" t="s">
        <v>937</v>
      </c>
      <c r="G458" t="s">
        <v>938</v>
      </c>
    </row>
    <row r="459" spans="1:7" x14ac:dyDescent="0.25">
      <c r="A459">
        <v>3549940102</v>
      </c>
      <c r="B459" t="s">
        <v>801</v>
      </c>
      <c r="C459" t="str">
        <f>"17855568703096390"</f>
        <v>17855568703096390</v>
      </c>
      <c r="D459" t="s">
        <v>939</v>
      </c>
      <c r="E459" t="s">
        <v>940</v>
      </c>
      <c r="F459" t="s">
        <v>803</v>
      </c>
      <c r="G459" t="s">
        <v>941</v>
      </c>
    </row>
    <row r="460" spans="1:7" x14ac:dyDescent="0.25">
      <c r="A460">
        <v>1102857306</v>
      </c>
      <c r="B460" t="s">
        <v>942</v>
      </c>
      <c r="C460" t="str">
        <f>"17865646930046226"</f>
        <v>17865646930046226</v>
      </c>
      <c r="D460" t="s">
        <v>152</v>
      </c>
      <c r="E460" t="s">
        <v>943</v>
      </c>
      <c r="F460" t="s">
        <v>944</v>
      </c>
      <c r="G460" t="s">
        <v>945</v>
      </c>
    </row>
    <row r="461" spans="1:7" x14ac:dyDescent="0.25">
      <c r="A461">
        <v>3314956775</v>
      </c>
      <c r="B461" t="s">
        <v>946</v>
      </c>
      <c r="C461" t="str">
        <f>"17855482729127726"</f>
        <v>17855482729127726</v>
      </c>
      <c r="D461" t="s">
        <v>207</v>
      </c>
      <c r="E461" t="s">
        <v>947</v>
      </c>
      <c r="F461" t="s">
        <v>948</v>
      </c>
      <c r="G461" t="s">
        <v>949</v>
      </c>
    </row>
    <row r="462" spans="1:7" x14ac:dyDescent="0.25">
      <c r="A462">
        <v>3588473914</v>
      </c>
      <c r="B462" t="s">
        <v>950</v>
      </c>
      <c r="C462" t="str">
        <f>"17854882444083751"</f>
        <v>17854882444083751</v>
      </c>
      <c r="D462" t="s">
        <v>23</v>
      </c>
      <c r="E462" t="s">
        <v>951</v>
      </c>
      <c r="F462" t="s">
        <v>952</v>
      </c>
      <c r="G462" t="s">
        <v>953</v>
      </c>
    </row>
    <row r="463" spans="1:7" x14ac:dyDescent="0.25">
      <c r="A463">
        <v>214268085</v>
      </c>
      <c r="B463" t="s">
        <v>934</v>
      </c>
      <c r="C463" t="str">
        <f>"17865716836019665"</f>
        <v>17865716836019665</v>
      </c>
      <c r="D463" t="s">
        <v>935</v>
      </c>
      <c r="E463" t="s">
        <v>936</v>
      </c>
      <c r="F463" t="s">
        <v>937</v>
      </c>
      <c r="G463" t="s">
        <v>938</v>
      </c>
    </row>
    <row r="464" spans="1:7" x14ac:dyDescent="0.25">
      <c r="A464">
        <v>3549940102</v>
      </c>
      <c r="B464" t="s">
        <v>801</v>
      </c>
      <c r="C464" t="str">
        <f>"17855568703096390"</f>
        <v>17855568703096390</v>
      </c>
      <c r="D464" t="s">
        <v>939</v>
      </c>
      <c r="E464" t="s">
        <v>940</v>
      </c>
      <c r="F464" t="s">
        <v>803</v>
      </c>
      <c r="G464" t="s">
        <v>941</v>
      </c>
    </row>
    <row r="465" spans="1:7" x14ac:dyDescent="0.25">
      <c r="A465">
        <v>1102857306</v>
      </c>
      <c r="B465" t="s">
        <v>942</v>
      </c>
      <c r="C465" t="str">
        <f>"17865646930046226"</f>
        <v>17865646930046226</v>
      </c>
      <c r="D465" t="s">
        <v>152</v>
      </c>
      <c r="E465" t="s">
        <v>943</v>
      </c>
      <c r="F465" t="s">
        <v>944</v>
      </c>
      <c r="G465" t="s">
        <v>945</v>
      </c>
    </row>
    <row r="466" spans="1:7" x14ac:dyDescent="0.25">
      <c r="A466">
        <v>3314956775</v>
      </c>
      <c r="B466" t="s">
        <v>946</v>
      </c>
      <c r="C466" t="str">
        <f>"17855482729127726"</f>
        <v>17855482729127726</v>
      </c>
      <c r="D466" t="s">
        <v>207</v>
      </c>
      <c r="E466" t="s">
        <v>947</v>
      </c>
      <c r="F466" t="s">
        <v>948</v>
      </c>
      <c r="G466" t="s">
        <v>949</v>
      </c>
    </row>
    <row r="467" spans="1:7" x14ac:dyDescent="0.25">
      <c r="A467">
        <v>3588473914</v>
      </c>
      <c r="B467" t="s">
        <v>950</v>
      </c>
      <c r="C467" t="str">
        <f>"17854882444083751"</f>
        <v>17854882444083751</v>
      </c>
      <c r="D467" t="s">
        <v>23</v>
      </c>
      <c r="E467" t="s">
        <v>951</v>
      </c>
      <c r="F467" t="s">
        <v>952</v>
      </c>
      <c r="G467" t="s">
        <v>953</v>
      </c>
    </row>
    <row r="468" spans="1:7" x14ac:dyDescent="0.25">
      <c r="A468">
        <v>3549940102</v>
      </c>
      <c r="B468" t="s">
        <v>801</v>
      </c>
      <c r="C468" t="str">
        <f>"17854491400087335"</f>
        <v>17854491400087335</v>
      </c>
      <c r="D468" t="s">
        <v>23</v>
      </c>
      <c r="E468" t="s">
        <v>954</v>
      </c>
      <c r="F468" t="s">
        <v>803</v>
      </c>
      <c r="G468" t="s">
        <v>955</v>
      </c>
    </row>
    <row r="469" spans="1:7" x14ac:dyDescent="0.25">
      <c r="A469">
        <v>4000959095</v>
      </c>
      <c r="B469" t="s">
        <v>956</v>
      </c>
      <c r="C469" t="str">
        <f>"17855225335120464"</f>
        <v>17855225335120464</v>
      </c>
      <c r="D469" t="s">
        <v>957</v>
      </c>
      <c r="E469" t="s">
        <v>958</v>
      </c>
      <c r="F469" t="s">
        <v>959</v>
      </c>
      <c r="G469" t="s">
        <v>960</v>
      </c>
    </row>
    <row r="470" spans="1:7" x14ac:dyDescent="0.25">
      <c r="A470">
        <v>3549940102</v>
      </c>
      <c r="B470" t="s">
        <v>801</v>
      </c>
      <c r="C470" t="str">
        <f>"17854491400087335"</f>
        <v>17854491400087335</v>
      </c>
      <c r="D470" t="s">
        <v>23</v>
      </c>
      <c r="E470" t="s">
        <v>954</v>
      </c>
      <c r="F470" t="s">
        <v>803</v>
      </c>
      <c r="G470" t="s">
        <v>955</v>
      </c>
    </row>
    <row r="471" spans="1:7" x14ac:dyDescent="0.25">
      <c r="A471">
        <v>4000959095</v>
      </c>
      <c r="B471" t="s">
        <v>956</v>
      </c>
      <c r="C471" t="str">
        <f>"17855225335120464"</f>
        <v>17855225335120464</v>
      </c>
      <c r="D471" t="s">
        <v>957</v>
      </c>
      <c r="E471" t="s">
        <v>958</v>
      </c>
      <c r="F471" t="s">
        <v>959</v>
      </c>
      <c r="G471" t="s">
        <v>960</v>
      </c>
    </row>
    <row r="472" spans="1:7" x14ac:dyDescent="0.25">
      <c r="A472">
        <v>200917650</v>
      </c>
      <c r="B472" t="s">
        <v>961</v>
      </c>
      <c r="C472" t="str">
        <f>"17866541353028685"</f>
        <v>17866541353028685</v>
      </c>
      <c r="D472" t="s">
        <v>152</v>
      </c>
      <c r="E472" t="s">
        <v>962</v>
      </c>
      <c r="F472" t="s">
        <v>963</v>
      </c>
      <c r="G472" t="s">
        <v>964</v>
      </c>
    </row>
    <row r="473" spans="1:7" x14ac:dyDescent="0.25">
      <c r="A473">
        <v>273260628</v>
      </c>
      <c r="B473" t="s">
        <v>965</v>
      </c>
      <c r="C473" t="str">
        <f>"17860313815065902"</f>
        <v>17860313815065902</v>
      </c>
      <c r="D473" t="s">
        <v>966</v>
      </c>
      <c r="E473" t="s">
        <v>967</v>
      </c>
      <c r="F473" t="s">
        <v>968</v>
      </c>
      <c r="G473" t="s">
        <v>969</v>
      </c>
    </row>
    <row r="474" spans="1:7" x14ac:dyDescent="0.25">
      <c r="A474">
        <v>273260628</v>
      </c>
      <c r="B474" t="s">
        <v>965</v>
      </c>
      <c r="C474" t="str">
        <f>"17860313815065902"</f>
        <v>17860313815065902</v>
      </c>
      <c r="D474" t="s">
        <v>966</v>
      </c>
      <c r="E474" t="s">
        <v>967</v>
      </c>
      <c r="F474" t="s">
        <v>968</v>
      </c>
      <c r="G474" t="s">
        <v>969</v>
      </c>
    </row>
    <row r="475" spans="1:7" x14ac:dyDescent="0.25">
      <c r="A475">
        <v>318225511</v>
      </c>
      <c r="B475" t="s">
        <v>970</v>
      </c>
      <c r="C475" t="str">
        <f>"17959959823090881"</f>
        <v>17959959823090881</v>
      </c>
      <c r="D475" t="s">
        <v>971</v>
      </c>
      <c r="E475" t="s">
        <v>972</v>
      </c>
      <c r="F475" t="s">
        <v>973</v>
      </c>
      <c r="G475" t="s">
        <v>974</v>
      </c>
    </row>
    <row r="476" spans="1:7" x14ac:dyDescent="0.25">
      <c r="A476">
        <v>318225511</v>
      </c>
      <c r="B476" t="s">
        <v>970</v>
      </c>
      <c r="C476" t="str">
        <f>"17959959823090881"</f>
        <v>17959959823090881</v>
      </c>
      <c r="D476" t="s">
        <v>971</v>
      </c>
      <c r="E476" t="s">
        <v>972</v>
      </c>
      <c r="F476" t="s">
        <v>973</v>
      </c>
      <c r="G476" t="s">
        <v>975</v>
      </c>
    </row>
    <row r="477" spans="1:7" x14ac:dyDescent="0.25">
      <c r="A477">
        <v>318225511</v>
      </c>
      <c r="B477" t="s">
        <v>970</v>
      </c>
      <c r="C477" t="str">
        <f>"17959959823090881"</f>
        <v>17959959823090881</v>
      </c>
      <c r="D477" t="s">
        <v>971</v>
      </c>
      <c r="E477" t="s">
        <v>972</v>
      </c>
      <c r="F477" t="s">
        <v>973</v>
      </c>
      <c r="G477" t="s">
        <v>974</v>
      </c>
    </row>
    <row r="478" spans="1:7" x14ac:dyDescent="0.25">
      <c r="A478">
        <v>4156705446</v>
      </c>
      <c r="B478" t="s">
        <v>976</v>
      </c>
      <c r="C478" t="str">
        <f>"17980026112003396"</f>
        <v>17980026112003396</v>
      </c>
      <c r="D478" t="s">
        <v>977</v>
      </c>
      <c r="E478" t="s">
        <v>978</v>
      </c>
      <c r="F478" t="s">
        <v>979</v>
      </c>
      <c r="G478" t="s">
        <v>980</v>
      </c>
    </row>
    <row r="479" spans="1:7" x14ac:dyDescent="0.25">
      <c r="A479">
        <v>4156705446</v>
      </c>
      <c r="B479" t="s">
        <v>976</v>
      </c>
      <c r="C479" t="str">
        <f>"17980026112003396"</f>
        <v>17980026112003396</v>
      </c>
      <c r="D479" t="s">
        <v>977</v>
      </c>
      <c r="E479" t="s">
        <v>978</v>
      </c>
      <c r="F479" t="s">
        <v>979</v>
      </c>
      <c r="G479" t="s">
        <v>980</v>
      </c>
    </row>
    <row r="480" spans="1:7" x14ac:dyDescent="0.25">
      <c r="A480">
        <v>16039832</v>
      </c>
      <c r="B480" t="s">
        <v>981</v>
      </c>
      <c r="C480" t="str">
        <f>"17866798798027419"</f>
        <v>17866798798027419</v>
      </c>
      <c r="D480" t="s">
        <v>982</v>
      </c>
      <c r="E480" t="s">
        <v>983</v>
      </c>
      <c r="F480" t="s">
        <v>984</v>
      </c>
      <c r="G480" t="s">
        <v>985</v>
      </c>
    </row>
    <row r="481" spans="1:7" x14ac:dyDescent="0.25">
      <c r="A481">
        <v>16039832</v>
      </c>
      <c r="B481" t="s">
        <v>981</v>
      </c>
      <c r="C481" t="str">
        <f>"17866798798027419"</f>
        <v>17866798798027419</v>
      </c>
      <c r="D481" t="s">
        <v>982</v>
      </c>
      <c r="E481" t="s">
        <v>983</v>
      </c>
      <c r="F481" t="s">
        <v>984</v>
      </c>
      <c r="G481" t="s">
        <v>985</v>
      </c>
    </row>
    <row r="482" spans="1:7" x14ac:dyDescent="0.25">
      <c r="A482">
        <v>1549494501</v>
      </c>
      <c r="B482" t="s">
        <v>527</v>
      </c>
      <c r="C482" t="str">
        <f>"17854880788082809"</f>
        <v>17854880788082809</v>
      </c>
      <c r="D482" t="s">
        <v>986</v>
      </c>
      <c r="E482" t="s">
        <v>987</v>
      </c>
      <c r="F482" t="s">
        <v>530</v>
      </c>
      <c r="G482" t="s">
        <v>988</v>
      </c>
    </row>
    <row r="483" spans="1:7" x14ac:dyDescent="0.25">
      <c r="A483">
        <v>1549494501</v>
      </c>
      <c r="B483" t="s">
        <v>527</v>
      </c>
      <c r="C483" t="str">
        <f>"17854880788082809"</f>
        <v>17854880788082809</v>
      </c>
      <c r="D483" t="s">
        <v>986</v>
      </c>
      <c r="E483" t="s">
        <v>987</v>
      </c>
      <c r="F483" t="s">
        <v>530</v>
      </c>
      <c r="G483" t="s">
        <v>989</v>
      </c>
    </row>
    <row r="484" spans="1:7" x14ac:dyDescent="0.25">
      <c r="A484">
        <v>1549494501</v>
      </c>
      <c r="B484" t="s">
        <v>527</v>
      </c>
      <c r="C484" t="str">
        <f>"17854880788082809"</f>
        <v>17854880788082809</v>
      </c>
      <c r="D484" t="s">
        <v>986</v>
      </c>
      <c r="E484" t="s">
        <v>987</v>
      </c>
      <c r="F484" t="s">
        <v>530</v>
      </c>
      <c r="G484" t="s">
        <v>988</v>
      </c>
    </row>
    <row r="485" spans="1:7" x14ac:dyDescent="0.25">
      <c r="A485">
        <v>380573995</v>
      </c>
      <c r="B485" t="s">
        <v>990</v>
      </c>
      <c r="C485" t="str">
        <f>"17866030276054327"</f>
        <v>17866030276054327</v>
      </c>
      <c r="D485" t="s">
        <v>8</v>
      </c>
      <c r="E485" t="s">
        <v>991</v>
      </c>
      <c r="F485" t="s">
        <v>992</v>
      </c>
      <c r="G485" t="s">
        <v>993</v>
      </c>
    </row>
    <row r="486" spans="1:7" x14ac:dyDescent="0.25">
      <c r="A486">
        <v>3056198315</v>
      </c>
      <c r="B486" t="s">
        <v>994</v>
      </c>
      <c r="C486" t="str">
        <f>"17867985592047496"</f>
        <v>17867985592047496</v>
      </c>
      <c r="D486" t="s">
        <v>995</v>
      </c>
      <c r="E486" t="s">
        <v>996</v>
      </c>
      <c r="F486" t="s">
        <v>997</v>
      </c>
      <c r="G486" t="s">
        <v>998</v>
      </c>
    </row>
    <row r="487" spans="1:7" x14ac:dyDescent="0.25">
      <c r="A487">
        <v>11481031</v>
      </c>
      <c r="B487" t="s">
        <v>999</v>
      </c>
      <c r="C487" t="str">
        <f>"17854902319088193"</f>
        <v>17854902319088193</v>
      </c>
      <c r="D487" t="s">
        <v>689</v>
      </c>
      <c r="E487" t="s">
        <v>1000</v>
      </c>
      <c r="F487" t="s">
        <v>1001</v>
      </c>
      <c r="G487" t="s">
        <v>1002</v>
      </c>
    </row>
    <row r="488" spans="1:7" x14ac:dyDescent="0.25">
      <c r="A488">
        <v>1747561337</v>
      </c>
      <c r="B488" t="s">
        <v>1003</v>
      </c>
      <c r="C488" t="str">
        <f>"17857559974078898"</f>
        <v>17857559974078898</v>
      </c>
      <c r="D488" t="s">
        <v>23</v>
      </c>
      <c r="E488" t="s">
        <v>1004</v>
      </c>
      <c r="F488" t="s">
        <v>1005</v>
      </c>
      <c r="G488" t="s">
        <v>1006</v>
      </c>
    </row>
    <row r="489" spans="1:7" x14ac:dyDescent="0.25">
      <c r="A489">
        <v>380573995</v>
      </c>
      <c r="B489" t="s">
        <v>990</v>
      </c>
      <c r="C489" t="str">
        <f>"17866030276054327"</f>
        <v>17866030276054327</v>
      </c>
      <c r="D489" t="s">
        <v>8</v>
      </c>
      <c r="E489" t="s">
        <v>991</v>
      </c>
      <c r="F489" t="s">
        <v>992</v>
      </c>
      <c r="G489" t="s">
        <v>993</v>
      </c>
    </row>
    <row r="490" spans="1:7" x14ac:dyDescent="0.25">
      <c r="A490">
        <v>3056198315</v>
      </c>
      <c r="B490" t="s">
        <v>994</v>
      </c>
      <c r="C490" t="str">
        <f>"17867985592047496"</f>
        <v>17867985592047496</v>
      </c>
      <c r="D490" t="s">
        <v>995</v>
      </c>
      <c r="E490" t="s">
        <v>996</v>
      </c>
      <c r="F490" t="s">
        <v>997</v>
      </c>
      <c r="G490" t="s">
        <v>998</v>
      </c>
    </row>
    <row r="491" spans="1:7" x14ac:dyDescent="0.25">
      <c r="A491">
        <v>11481031</v>
      </c>
      <c r="B491" t="s">
        <v>999</v>
      </c>
      <c r="C491" t="str">
        <f>"17854902319088193"</f>
        <v>17854902319088193</v>
      </c>
      <c r="D491" t="s">
        <v>689</v>
      </c>
      <c r="E491" t="s">
        <v>1000</v>
      </c>
      <c r="F491" t="s">
        <v>1001</v>
      </c>
      <c r="G491" t="s">
        <v>1002</v>
      </c>
    </row>
    <row r="492" spans="1:7" x14ac:dyDescent="0.25">
      <c r="A492">
        <v>1747561337</v>
      </c>
      <c r="B492" t="s">
        <v>1003</v>
      </c>
      <c r="C492" t="str">
        <f>"17857559974078898"</f>
        <v>17857559974078898</v>
      </c>
      <c r="D492" t="s">
        <v>23</v>
      </c>
      <c r="E492" t="s">
        <v>1004</v>
      </c>
      <c r="F492" t="s">
        <v>1005</v>
      </c>
      <c r="G492" t="s">
        <v>1006</v>
      </c>
    </row>
    <row r="493" spans="1:7" x14ac:dyDescent="0.25">
      <c r="A493">
        <v>1549494501</v>
      </c>
      <c r="B493" t="s">
        <v>527</v>
      </c>
      <c r="C493" t="str">
        <f>"17866408852042485"</f>
        <v>17866408852042485</v>
      </c>
      <c r="D493" t="s">
        <v>1007</v>
      </c>
      <c r="E493" t="s">
        <v>1008</v>
      </c>
      <c r="F493" t="s">
        <v>530</v>
      </c>
      <c r="G493" t="s">
        <v>1009</v>
      </c>
    </row>
    <row r="494" spans="1:7" x14ac:dyDescent="0.25">
      <c r="A494">
        <v>1549494501</v>
      </c>
      <c r="B494" t="s">
        <v>527</v>
      </c>
      <c r="C494" t="str">
        <f>"17866408852042485"</f>
        <v>17866408852042485</v>
      </c>
      <c r="D494" t="s">
        <v>1007</v>
      </c>
      <c r="E494" t="s">
        <v>1008</v>
      </c>
      <c r="F494" t="s">
        <v>530</v>
      </c>
      <c r="G494" t="s">
        <v>1010</v>
      </c>
    </row>
    <row r="495" spans="1:7" x14ac:dyDescent="0.25">
      <c r="A495">
        <v>674767142</v>
      </c>
      <c r="B495" t="s">
        <v>1011</v>
      </c>
      <c r="C495" t="str">
        <f>"17867140393015871"</f>
        <v>17867140393015871</v>
      </c>
      <c r="D495" t="s">
        <v>1012</v>
      </c>
      <c r="E495" t="s">
        <v>1013</v>
      </c>
      <c r="F495" t="s">
        <v>1014</v>
      </c>
      <c r="G495" t="s">
        <v>1015</v>
      </c>
    </row>
    <row r="496" spans="1:7" x14ac:dyDescent="0.25">
      <c r="A496">
        <v>4043472114</v>
      </c>
      <c r="B496" t="s">
        <v>1016</v>
      </c>
      <c r="C496" t="str">
        <f>"17845245325184292"</f>
        <v>17845245325184292</v>
      </c>
      <c r="D496" t="s">
        <v>1017</v>
      </c>
      <c r="E496" t="s">
        <v>1018</v>
      </c>
      <c r="F496" t="s">
        <v>1019</v>
      </c>
      <c r="G496" t="s">
        <v>1020</v>
      </c>
    </row>
    <row r="497" spans="1:7" x14ac:dyDescent="0.25">
      <c r="A497">
        <v>4043472114</v>
      </c>
      <c r="B497" t="s">
        <v>1016</v>
      </c>
      <c r="C497" t="str">
        <f>"17845245325184292"</f>
        <v>17845245325184292</v>
      </c>
      <c r="D497" t="s">
        <v>1017</v>
      </c>
      <c r="E497" t="s">
        <v>1018</v>
      </c>
      <c r="F497" t="s">
        <v>1019</v>
      </c>
      <c r="G497" t="s">
        <v>1020</v>
      </c>
    </row>
    <row r="498" spans="1:7" x14ac:dyDescent="0.25">
      <c r="A498">
        <v>1447180230</v>
      </c>
      <c r="B498" t="s">
        <v>1021</v>
      </c>
      <c r="C498" t="str">
        <f>"17977870366052921"</f>
        <v>17977870366052921</v>
      </c>
      <c r="D498" t="s">
        <v>1022</v>
      </c>
      <c r="E498" t="s">
        <v>1023</v>
      </c>
      <c r="F498" t="s">
        <v>1024</v>
      </c>
      <c r="G498" t="s">
        <v>1025</v>
      </c>
    </row>
    <row r="499" spans="1:7" x14ac:dyDescent="0.25">
      <c r="A499">
        <v>1146358743</v>
      </c>
      <c r="B499" t="s">
        <v>1026</v>
      </c>
      <c r="C499" t="str">
        <f>"17974724470070337"</f>
        <v>17974724470070337</v>
      </c>
      <c r="D499" t="s">
        <v>1027</v>
      </c>
      <c r="E499" t="s">
        <v>1028</v>
      </c>
      <c r="F499" t="s">
        <v>1029</v>
      </c>
      <c r="G499" t="s">
        <v>1030</v>
      </c>
    </row>
    <row r="500" spans="1:7" x14ac:dyDescent="0.25">
      <c r="A500">
        <v>4156705446</v>
      </c>
      <c r="B500" t="s">
        <v>976</v>
      </c>
      <c r="C500" t="str">
        <f>"17890702444248146"</f>
        <v>17890702444248146</v>
      </c>
      <c r="D500" t="s">
        <v>152</v>
      </c>
      <c r="E500" t="s">
        <v>1031</v>
      </c>
      <c r="F500" t="s">
        <v>979</v>
      </c>
      <c r="G500" t="s">
        <v>1032</v>
      </c>
    </row>
    <row r="501" spans="1:7" x14ac:dyDescent="0.25">
      <c r="A501">
        <v>7737627444</v>
      </c>
      <c r="B501" t="s">
        <v>1033</v>
      </c>
      <c r="C501" t="str">
        <f>"17943122137197173"</f>
        <v>17943122137197173</v>
      </c>
      <c r="D501" t="s">
        <v>174</v>
      </c>
      <c r="E501" t="s">
        <v>1034</v>
      </c>
      <c r="F501" t="s">
        <v>1035</v>
      </c>
      <c r="G501" t="s">
        <v>1036</v>
      </c>
    </row>
    <row r="502" spans="1:7" x14ac:dyDescent="0.25">
      <c r="A502">
        <v>144963329</v>
      </c>
      <c r="B502" t="s">
        <v>1037</v>
      </c>
      <c r="C502" t="str">
        <f>"17844871183176910"</f>
        <v>17844871183176910</v>
      </c>
      <c r="D502" t="s">
        <v>1038</v>
      </c>
      <c r="E502" t="s">
        <v>1039</v>
      </c>
      <c r="F502" t="s">
        <v>1040</v>
      </c>
      <c r="G502" t="s">
        <v>1041</v>
      </c>
    </row>
    <row r="503" spans="1:7" x14ac:dyDescent="0.25">
      <c r="A503">
        <v>144963329</v>
      </c>
      <c r="B503" t="s">
        <v>1037</v>
      </c>
      <c r="C503" t="str">
        <f>"17844871183176910"</f>
        <v>17844871183176910</v>
      </c>
      <c r="D503" t="s">
        <v>1038</v>
      </c>
      <c r="E503" t="s">
        <v>1039</v>
      </c>
      <c r="F503" t="s">
        <v>1040</v>
      </c>
      <c r="G503" t="s">
        <v>1042</v>
      </c>
    </row>
    <row r="504" spans="1:7" x14ac:dyDescent="0.25">
      <c r="A504">
        <v>50525462</v>
      </c>
      <c r="B504" t="s">
        <v>1043</v>
      </c>
      <c r="C504" t="str">
        <f>"17868763933029357"</f>
        <v>17868763933029357</v>
      </c>
      <c r="D504" t="s">
        <v>1044</v>
      </c>
      <c r="E504" t="s">
        <v>1045</v>
      </c>
      <c r="F504" t="s">
        <v>1046</v>
      </c>
      <c r="G504" t="s">
        <v>1047</v>
      </c>
    </row>
    <row r="505" spans="1:7" x14ac:dyDescent="0.25">
      <c r="A505">
        <v>2028501988</v>
      </c>
      <c r="B505" t="s">
        <v>1048</v>
      </c>
      <c r="C505" t="str">
        <f>"17858193085117520"</f>
        <v>17858193085117520</v>
      </c>
      <c r="D505" t="s">
        <v>679</v>
      </c>
      <c r="E505" t="s">
        <v>1049</v>
      </c>
      <c r="F505" t="s">
        <v>1050</v>
      </c>
      <c r="G505" t="s">
        <v>1051</v>
      </c>
    </row>
    <row r="506" spans="1:7" x14ac:dyDescent="0.25">
      <c r="A506">
        <v>523618710</v>
      </c>
      <c r="B506" t="s">
        <v>1052</v>
      </c>
      <c r="C506" t="str">
        <f>"17869933642011364"</f>
        <v>17869933642011364</v>
      </c>
      <c r="D506" t="s">
        <v>1053</v>
      </c>
      <c r="E506" t="s">
        <v>1054</v>
      </c>
      <c r="F506" t="s">
        <v>1055</v>
      </c>
      <c r="G506" t="s">
        <v>1056</v>
      </c>
    </row>
    <row r="507" spans="1:7" x14ac:dyDescent="0.25">
      <c r="A507">
        <v>1380132282</v>
      </c>
      <c r="B507" t="s">
        <v>1057</v>
      </c>
      <c r="C507" t="str">
        <f>"17868698284016224"</f>
        <v>17868698284016224</v>
      </c>
      <c r="D507" t="s">
        <v>1058</v>
      </c>
      <c r="E507" t="s">
        <v>1059</v>
      </c>
      <c r="F507" t="s">
        <v>1060</v>
      </c>
      <c r="G507" t="s">
        <v>1061</v>
      </c>
    </row>
    <row r="508" spans="1:7" x14ac:dyDescent="0.25">
      <c r="A508">
        <v>1339033994</v>
      </c>
      <c r="B508" t="s">
        <v>1062</v>
      </c>
      <c r="C508" t="str">
        <f>"17847899413142991"</f>
        <v>17847899413142991</v>
      </c>
      <c r="D508" t="s">
        <v>1063</v>
      </c>
      <c r="E508" t="s">
        <v>1064</v>
      </c>
      <c r="F508" t="s">
        <v>1065</v>
      </c>
      <c r="G508" t="s">
        <v>1066</v>
      </c>
    </row>
    <row r="509" spans="1:7" x14ac:dyDescent="0.25">
      <c r="A509">
        <v>50525462</v>
      </c>
      <c r="B509" t="s">
        <v>1043</v>
      </c>
      <c r="C509" t="str">
        <f>"17868763933029357"</f>
        <v>17868763933029357</v>
      </c>
      <c r="D509" t="s">
        <v>1044</v>
      </c>
      <c r="E509" t="s">
        <v>1045</v>
      </c>
      <c r="F509" t="s">
        <v>1046</v>
      </c>
      <c r="G509" t="s">
        <v>1067</v>
      </c>
    </row>
    <row r="510" spans="1:7" x14ac:dyDescent="0.25">
      <c r="A510">
        <v>2028501988</v>
      </c>
      <c r="B510" t="s">
        <v>1048</v>
      </c>
      <c r="C510" t="str">
        <f>"17858193085117520"</f>
        <v>17858193085117520</v>
      </c>
      <c r="D510" t="s">
        <v>679</v>
      </c>
      <c r="E510" t="s">
        <v>1049</v>
      </c>
      <c r="F510" t="s">
        <v>1050</v>
      </c>
      <c r="G510" t="s">
        <v>1068</v>
      </c>
    </row>
    <row r="511" spans="1:7" x14ac:dyDescent="0.25">
      <c r="A511">
        <v>523618710</v>
      </c>
      <c r="B511" t="s">
        <v>1052</v>
      </c>
      <c r="C511" t="str">
        <f>"17869933642011364"</f>
        <v>17869933642011364</v>
      </c>
      <c r="D511" t="s">
        <v>1053</v>
      </c>
      <c r="E511" t="s">
        <v>1054</v>
      </c>
      <c r="F511" t="s">
        <v>1055</v>
      </c>
      <c r="G511" t="s">
        <v>1069</v>
      </c>
    </row>
    <row r="512" spans="1:7" x14ac:dyDescent="0.25">
      <c r="A512">
        <v>1380132282</v>
      </c>
      <c r="B512" t="s">
        <v>1057</v>
      </c>
      <c r="C512" t="str">
        <f>"17868698284016224"</f>
        <v>17868698284016224</v>
      </c>
      <c r="D512" t="s">
        <v>1058</v>
      </c>
      <c r="E512" t="s">
        <v>1059</v>
      </c>
      <c r="F512" t="s">
        <v>1060</v>
      </c>
      <c r="G512" t="s">
        <v>1070</v>
      </c>
    </row>
    <row r="513" spans="1:7" x14ac:dyDescent="0.25">
      <c r="A513">
        <v>1339033994</v>
      </c>
      <c r="B513" t="s">
        <v>1062</v>
      </c>
      <c r="C513" t="str">
        <f>"17847899413142991"</f>
        <v>17847899413142991</v>
      </c>
      <c r="D513" t="s">
        <v>1063</v>
      </c>
      <c r="E513" t="s">
        <v>1064</v>
      </c>
      <c r="F513" t="s">
        <v>1065</v>
      </c>
      <c r="G513" t="s">
        <v>1071</v>
      </c>
    </row>
    <row r="514" spans="1:7" x14ac:dyDescent="0.25">
      <c r="A514">
        <v>50525462</v>
      </c>
      <c r="B514" t="s">
        <v>1043</v>
      </c>
      <c r="C514" t="str">
        <f>"17868763933029357"</f>
        <v>17868763933029357</v>
      </c>
      <c r="D514" t="s">
        <v>1044</v>
      </c>
      <c r="E514" t="s">
        <v>1045</v>
      </c>
      <c r="F514" t="s">
        <v>1046</v>
      </c>
      <c r="G514" t="s">
        <v>1047</v>
      </c>
    </row>
    <row r="515" spans="1:7" x14ac:dyDescent="0.25">
      <c r="A515">
        <v>2028501988</v>
      </c>
      <c r="B515" t="s">
        <v>1048</v>
      </c>
      <c r="C515" t="str">
        <f>"17858193085117520"</f>
        <v>17858193085117520</v>
      </c>
      <c r="D515" t="s">
        <v>679</v>
      </c>
      <c r="E515" t="s">
        <v>1049</v>
      </c>
      <c r="F515" t="s">
        <v>1050</v>
      </c>
      <c r="G515" t="s">
        <v>1051</v>
      </c>
    </row>
    <row r="516" spans="1:7" x14ac:dyDescent="0.25">
      <c r="A516">
        <v>523618710</v>
      </c>
      <c r="B516" t="s">
        <v>1052</v>
      </c>
      <c r="C516" t="str">
        <f>"17869933642011364"</f>
        <v>17869933642011364</v>
      </c>
      <c r="D516" t="s">
        <v>1053</v>
      </c>
      <c r="E516" t="s">
        <v>1054</v>
      </c>
      <c r="F516" t="s">
        <v>1055</v>
      </c>
      <c r="G516" t="s">
        <v>1056</v>
      </c>
    </row>
    <row r="517" spans="1:7" x14ac:dyDescent="0.25">
      <c r="A517">
        <v>1380132282</v>
      </c>
      <c r="B517" t="s">
        <v>1057</v>
      </c>
      <c r="C517" t="str">
        <f>"17868698284016224"</f>
        <v>17868698284016224</v>
      </c>
      <c r="D517" t="s">
        <v>1058</v>
      </c>
      <c r="E517" t="s">
        <v>1059</v>
      </c>
      <c r="F517" t="s">
        <v>1060</v>
      </c>
      <c r="G517" t="s">
        <v>1061</v>
      </c>
    </row>
    <row r="518" spans="1:7" x14ac:dyDescent="0.25">
      <c r="A518">
        <v>1339033994</v>
      </c>
      <c r="B518" t="s">
        <v>1062</v>
      </c>
      <c r="C518" t="str">
        <f>"17847899413142991"</f>
        <v>17847899413142991</v>
      </c>
      <c r="D518" t="s">
        <v>1063</v>
      </c>
      <c r="E518" t="s">
        <v>1064</v>
      </c>
      <c r="F518" t="s">
        <v>1065</v>
      </c>
      <c r="G518" t="s">
        <v>1066</v>
      </c>
    </row>
    <row r="519" spans="1:7" x14ac:dyDescent="0.25">
      <c r="A519">
        <v>1650220153</v>
      </c>
      <c r="B519" t="s">
        <v>1072</v>
      </c>
      <c r="C519" t="str">
        <f>"17846679274173302"</f>
        <v>17846679274173302</v>
      </c>
      <c r="D519" t="s">
        <v>1073</v>
      </c>
      <c r="E519" t="s">
        <v>1074</v>
      </c>
      <c r="F519" t="s">
        <v>1075</v>
      </c>
      <c r="G519" t="s">
        <v>1076</v>
      </c>
    </row>
    <row r="520" spans="1:7" x14ac:dyDescent="0.25">
      <c r="A520">
        <v>1650220153</v>
      </c>
      <c r="B520" t="s">
        <v>1072</v>
      </c>
      <c r="C520" t="str">
        <f>"17846679274173302"</f>
        <v>17846679274173302</v>
      </c>
      <c r="D520" t="s">
        <v>1073</v>
      </c>
      <c r="E520" t="s">
        <v>1074</v>
      </c>
      <c r="F520" t="s">
        <v>1075</v>
      </c>
      <c r="G520" t="s">
        <v>1076</v>
      </c>
    </row>
    <row r="521" spans="1:7" x14ac:dyDescent="0.25">
      <c r="A521">
        <v>1650220153</v>
      </c>
      <c r="B521" t="s">
        <v>1072</v>
      </c>
      <c r="C521" t="str">
        <f>"17846679274173302"</f>
        <v>17846679274173302</v>
      </c>
      <c r="D521" t="s">
        <v>1073</v>
      </c>
      <c r="E521" t="s">
        <v>1074</v>
      </c>
      <c r="F521" t="s">
        <v>1075</v>
      </c>
      <c r="G521" t="s">
        <v>1077</v>
      </c>
    </row>
    <row r="522" spans="1:7" x14ac:dyDescent="0.25">
      <c r="A522">
        <v>3931010998</v>
      </c>
      <c r="B522" t="s">
        <v>1078</v>
      </c>
      <c r="C522" t="str">
        <f>"17857125325088545"</f>
        <v>17857125325088545</v>
      </c>
      <c r="D522" t="s">
        <v>759</v>
      </c>
      <c r="E522" t="s">
        <v>1079</v>
      </c>
      <c r="F522" t="s">
        <v>1080</v>
      </c>
      <c r="G522" t="s">
        <v>1081</v>
      </c>
    </row>
    <row r="523" spans="1:7" x14ac:dyDescent="0.25">
      <c r="A523">
        <v>3931010998</v>
      </c>
      <c r="B523" t="s">
        <v>1078</v>
      </c>
      <c r="C523" t="str">
        <f>"17857125325088545"</f>
        <v>17857125325088545</v>
      </c>
      <c r="D523" t="s">
        <v>759</v>
      </c>
      <c r="E523" t="s">
        <v>1079</v>
      </c>
      <c r="F523" t="s">
        <v>1080</v>
      </c>
      <c r="G523" t="s">
        <v>1081</v>
      </c>
    </row>
    <row r="524" spans="1:7" x14ac:dyDescent="0.25">
      <c r="A524">
        <v>7737627444</v>
      </c>
      <c r="B524" t="s">
        <v>1033</v>
      </c>
      <c r="C524" t="str">
        <f>"17927802151204251"</f>
        <v>17927802151204251</v>
      </c>
      <c r="D524" t="s">
        <v>1082</v>
      </c>
      <c r="E524" t="s">
        <v>1083</v>
      </c>
      <c r="F524" t="s">
        <v>1035</v>
      </c>
      <c r="G524" t="s">
        <v>1084</v>
      </c>
    </row>
    <row r="525" spans="1:7" x14ac:dyDescent="0.25">
      <c r="A525">
        <v>7737627444</v>
      </c>
      <c r="B525" t="s">
        <v>1033</v>
      </c>
      <c r="C525" t="str">
        <f>"17927802151204251"</f>
        <v>17927802151204251</v>
      </c>
      <c r="D525" t="s">
        <v>1082</v>
      </c>
      <c r="E525" t="s">
        <v>1083</v>
      </c>
      <c r="F525" t="s">
        <v>1035</v>
      </c>
      <c r="G525" t="s">
        <v>1084</v>
      </c>
    </row>
    <row r="526" spans="1:7" x14ac:dyDescent="0.25">
      <c r="A526">
        <v>7737627444</v>
      </c>
      <c r="B526" t="s">
        <v>1033</v>
      </c>
      <c r="C526" t="str">
        <f>"17927802151204251"</f>
        <v>17927802151204251</v>
      </c>
      <c r="D526" t="s">
        <v>1082</v>
      </c>
      <c r="E526" t="s">
        <v>1083</v>
      </c>
      <c r="F526" t="s">
        <v>1035</v>
      </c>
      <c r="G526" t="s">
        <v>1084</v>
      </c>
    </row>
    <row r="527" spans="1:7" x14ac:dyDescent="0.25">
      <c r="A527">
        <v>1979147653</v>
      </c>
      <c r="B527" t="s">
        <v>1085</v>
      </c>
      <c r="C527" t="str">
        <f>"17868573205055168"</f>
        <v>17868573205055168</v>
      </c>
      <c r="D527" t="s">
        <v>152</v>
      </c>
      <c r="E527" t="s">
        <v>1086</v>
      </c>
      <c r="F527" t="s">
        <v>1087</v>
      </c>
      <c r="G527" t="s">
        <v>1088</v>
      </c>
    </row>
    <row r="528" spans="1:7" x14ac:dyDescent="0.25">
      <c r="A528">
        <v>2035850507</v>
      </c>
      <c r="B528" t="s">
        <v>1089</v>
      </c>
      <c r="C528" t="str">
        <f>"17867711746049813"</f>
        <v>17867711746049813</v>
      </c>
      <c r="D528" t="s">
        <v>1090</v>
      </c>
      <c r="E528" t="s">
        <v>1091</v>
      </c>
      <c r="F528" t="s">
        <v>1092</v>
      </c>
      <c r="G528" t="s">
        <v>1093</v>
      </c>
    </row>
    <row r="529" spans="1:7" x14ac:dyDescent="0.25">
      <c r="A529">
        <v>2078927912</v>
      </c>
      <c r="B529" t="s">
        <v>1094</v>
      </c>
      <c r="C529" t="str">
        <f>"17868136927013428"</f>
        <v>17868136927013428</v>
      </c>
      <c r="D529" t="s">
        <v>1095</v>
      </c>
      <c r="E529" t="s">
        <v>1096</v>
      </c>
      <c r="F529" t="s">
        <v>1097</v>
      </c>
      <c r="G529" t="s">
        <v>1098</v>
      </c>
    </row>
    <row r="530" spans="1:7" x14ac:dyDescent="0.25">
      <c r="A530">
        <v>2078927912</v>
      </c>
      <c r="B530" t="s">
        <v>1094</v>
      </c>
      <c r="C530" t="str">
        <f>"17868136927013428"</f>
        <v>17868136927013428</v>
      </c>
      <c r="D530" t="s">
        <v>1095</v>
      </c>
      <c r="E530" t="s">
        <v>1096</v>
      </c>
      <c r="F530" t="s">
        <v>1097</v>
      </c>
      <c r="G530" t="s">
        <v>1099</v>
      </c>
    </row>
    <row r="531" spans="1:7" x14ac:dyDescent="0.25">
      <c r="A531">
        <v>3106905602</v>
      </c>
      <c r="B531" t="s">
        <v>1100</v>
      </c>
      <c r="C531" t="str">
        <f>"17846595244149142"</f>
        <v>17846595244149142</v>
      </c>
      <c r="D531" t="s">
        <v>1101</v>
      </c>
      <c r="E531" t="s">
        <v>1102</v>
      </c>
      <c r="F531" t="s">
        <v>1103</v>
      </c>
      <c r="G531" t="s">
        <v>1104</v>
      </c>
    </row>
    <row r="532" spans="1:7" x14ac:dyDescent="0.25">
      <c r="A532">
        <v>4303995035</v>
      </c>
      <c r="B532" t="s">
        <v>1105</v>
      </c>
      <c r="C532" t="str">
        <f>"17856576415085021"</f>
        <v>17856576415085021</v>
      </c>
      <c r="D532" t="s">
        <v>759</v>
      </c>
      <c r="E532" t="s">
        <v>1106</v>
      </c>
      <c r="F532" t="s">
        <v>1107</v>
      </c>
      <c r="G532" t="s">
        <v>1108</v>
      </c>
    </row>
    <row r="533" spans="1:7" x14ac:dyDescent="0.25">
      <c r="A533">
        <v>4303995035</v>
      </c>
      <c r="B533" t="s">
        <v>1105</v>
      </c>
      <c r="C533" t="str">
        <f>"17856576415085021"</f>
        <v>17856576415085021</v>
      </c>
      <c r="D533" t="s">
        <v>759</v>
      </c>
      <c r="E533" t="s">
        <v>1106</v>
      </c>
      <c r="F533" t="s">
        <v>1107</v>
      </c>
      <c r="G533" t="s">
        <v>1108</v>
      </c>
    </row>
    <row r="534" spans="1:7" x14ac:dyDescent="0.25">
      <c r="A534">
        <v>4303995035</v>
      </c>
      <c r="B534" t="s">
        <v>1105</v>
      </c>
      <c r="C534" t="str">
        <f>"17856576415085021"</f>
        <v>17856576415085021</v>
      </c>
      <c r="D534" t="s">
        <v>759</v>
      </c>
      <c r="E534" t="s">
        <v>1106</v>
      </c>
      <c r="F534" t="s">
        <v>1107</v>
      </c>
      <c r="G534" t="s">
        <v>1109</v>
      </c>
    </row>
    <row r="535" spans="1:7" x14ac:dyDescent="0.25">
      <c r="A535">
        <v>4303995035</v>
      </c>
      <c r="B535" t="s">
        <v>1105</v>
      </c>
      <c r="C535" t="str">
        <f>"17856576415085021"</f>
        <v>17856576415085021</v>
      </c>
      <c r="D535" t="s">
        <v>759</v>
      </c>
      <c r="E535" t="s">
        <v>1106</v>
      </c>
      <c r="F535" t="s">
        <v>1107</v>
      </c>
      <c r="G535" t="s">
        <v>1108</v>
      </c>
    </row>
    <row r="536" spans="1:7" x14ac:dyDescent="0.25">
      <c r="A536">
        <v>3004945597</v>
      </c>
      <c r="B536" t="s">
        <v>1110</v>
      </c>
      <c r="C536" t="str">
        <f>"17845782697174943"</f>
        <v>17845782697174943</v>
      </c>
      <c r="D536" t="s">
        <v>1111</v>
      </c>
      <c r="E536" t="s">
        <v>1112</v>
      </c>
      <c r="F536" t="s">
        <v>1113</v>
      </c>
      <c r="G536" t="s">
        <v>1114</v>
      </c>
    </row>
    <row r="537" spans="1:7" x14ac:dyDescent="0.25">
      <c r="A537">
        <v>489315379</v>
      </c>
      <c r="B537" t="s">
        <v>1115</v>
      </c>
      <c r="C537" t="str">
        <f>"17857327834102899"</f>
        <v>17857327834102899</v>
      </c>
      <c r="D537" t="s">
        <v>1116</v>
      </c>
      <c r="E537" t="s">
        <v>1117</v>
      </c>
      <c r="F537" t="s">
        <v>1118</v>
      </c>
      <c r="G537" t="s">
        <v>1119</v>
      </c>
    </row>
    <row r="538" spans="1:7" x14ac:dyDescent="0.25">
      <c r="A538">
        <v>2220491351</v>
      </c>
      <c r="B538" t="s">
        <v>1120</v>
      </c>
      <c r="C538" t="str">
        <f>"17846740714140364"</f>
        <v>17846740714140364</v>
      </c>
      <c r="D538" t="s">
        <v>1121</v>
      </c>
      <c r="E538" t="s">
        <v>1122</v>
      </c>
      <c r="F538" t="s">
        <v>1123</v>
      </c>
      <c r="G538" t="s">
        <v>1124</v>
      </c>
    </row>
    <row r="539" spans="1:7" x14ac:dyDescent="0.25">
      <c r="A539">
        <v>3004945597</v>
      </c>
      <c r="B539" t="s">
        <v>1110</v>
      </c>
      <c r="C539" t="str">
        <f>"17845782697174943"</f>
        <v>17845782697174943</v>
      </c>
      <c r="D539" t="s">
        <v>1111</v>
      </c>
      <c r="E539" t="s">
        <v>1112</v>
      </c>
      <c r="F539" t="s">
        <v>1113</v>
      </c>
      <c r="G539" t="s">
        <v>1114</v>
      </c>
    </row>
    <row r="540" spans="1:7" x14ac:dyDescent="0.25">
      <c r="A540">
        <v>489315379</v>
      </c>
      <c r="B540" t="s">
        <v>1115</v>
      </c>
      <c r="C540" t="str">
        <f>"17857327834102899"</f>
        <v>17857327834102899</v>
      </c>
      <c r="D540" t="s">
        <v>1116</v>
      </c>
      <c r="E540" t="s">
        <v>1117</v>
      </c>
      <c r="F540" t="s">
        <v>1118</v>
      </c>
      <c r="G540" t="s">
        <v>1119</v>
      </c>
    </row>
    <row r="541" spans="1:7" x14ac:dyDescent="0.25">
      <c r="A541">
        <v>2220491351</v>
      </c>
      <c r="B541" t="s">
        <v>1120</v>
      </c>
      <c r="C541" t="str">
        <f>"17846740714140364"</f>
        <v>17846740714140364</v>
      </c>
      <c r="D541" t="s">
        <v>1121</v>
      </c>
      <c r="E541" t="s">
        <v>1122</v>
      </c>
      <c r="F541" t="s">
        <v>1123</v>
      </c>
      <c r="G541" t="s">
        <v>1124</v>
      </c>
    </row>
    <row r="542" spans="1:7" x14ac:dyDescent="0.25">
      <c r="A542">
        <v>3486392639</v>
      </c>
      <c r="B542" t="s">
        <v>1125</v>
      </c>
      <c r="C542" t="str">
        <f>"17867418244030563"</f>
        <v>17867418244030563</v>
      </c>
      <c r="D542" t="s">
        <v>1126</v>
      </c>
      <c r="E542" t="s">
        <v>1127</v>
      </c>
      <c r="F542" t="s">
        <v>1128</v>
      </c>
      <c r="G542" t="s">
        <v>1129</v>
      </c>
    </row>
    <row r="543" spans="1:7" x14ac:dyDescent="0.25">
      <c r="A543">
        <v>3486392639</v>
      </c>
      <c r="B543" t="s">
        <v>1125</v>
      </c>
      <c r="C543" t="str">
        <f>"17867418244030563"</f>
        <v>17867418244030563</v>
      </c>
      <c r="D543" t="s">
        <v>1126</v>
      </c>
      <c r="E543" t="s">
        <v>1127</v>
      </c>
      <c r="F543" t="s">
        <v>1128</v>
      </c>
      <c r="G543" t="s">
        <v>1130</v>
      </c>
    </row>
    <row r="544" spans="1:7" x14ac:dyDescent="0.25">
      <c r="A544">
        <v>3486392639</v>
      </c>
      <c r="B544" t="s">
        <v>1125</v>
      </c>
      <c r="C544" t="str">
        <f>"17867418244030563"</f>
        <v>17867418244030563</v>
      </c>
      <c r="D544" t="s">
        <v>1126</v>
      </c>
      <c r="E544" t="s">
        <v>1127</v>
      </c>
      <c r="F544" t="s">
        <v>1128</v>
      </c>
      <c r="G544" t="s">
        <v>1129</v>
      </c>
    </row>
    <row r="545" spans="1:7" x14ac:dyDescent="0.25">
      <c r="A545">
        <v>196636512</v>
      </c>
      <c r="B545" t="s">
        <v>1131</v>
      </c>
      <c r="C545" t="str">
        <f>"17868990361009654"</f>
        <v>17868990361009654</v>
      </c>
      <c r="D545" t="s">
        <v>1132</v>
      </c>
      <c r="E545" t="s">
        <v>1133</v>
      </c>
      <c r="F545" t="s">
        <v>1134</v>
      </c>
      <c r="G545" t="s">
        <v>1135</v>
      </c>
    </row>
    <row r="546" spans="1:7" x14ac:dyDescent="0.25">
      <c r="A546">
        <v>196636512</v>
      </c>
      <c r="B546" t="s">
        <v>1131</v>
      </c>
      <c r="C546" t="str">
        <f>"17868990361009654"</f>
        <v>17868990361009654</v>
      </c>
      <c r="D546" t="s">
        <v>1132</v>
      </c>
      <c r="E546" t="s">
        <v>1133</v>
      </c>
      <c r="F546" t="s">
        <v>1134</v>
      </c>
      <c r="G546" t="s">
        <v>1135</v>
      </c>
    </row>
    <row r="547" spans="1:7" x14ac:dyDescent="0.25">
      <c r="A547">
        <v>1511038555</v>
      </c>
      <c r="B547" t="s">
        <v>1136</v>
      </c>
      <c r="C547" t="str">
        <f>"17856685945095389"</f>
        <v>17856685945095389</v>
      </c>
      <c r="D547" t="s">
        <v>1137</v>
      </c>
      <c r="E547" t="s">
        <v>1138</v>
      </c>
      <c r="F547" t="s">
        <v>1139</v>
      </c>
      <c r="G547" t="s">
        <v>1140</v>
      </c>
    </row>
    <row r="548" spans="1:7" x14ac:dyDescent="0.25">
      <c r="A548">
        <v>1473608835</v>
      </c>
      <c r="B548" t="s">
        <v>1141</v>
      </c>
      <c r="C548" t="str">
        <f>"17848107838138187"</f>
        <v>17848107838138187</v>
      </c>
      <c r="D548" t="s">
        <v>1142</v>
      </c>
      <c r="E548" t="s">
        <v>1143</v>
      </c>
      <c r="F548" t="s">
        <v>1144</v>
      </c>
      <c r="G548" t="s">
        <v>1145</v>
      </c>
    </row>
    <row r="549" spans="1:7" x14ac:dyDescent="0.25">
      <c r="A549">
        <v>42242635</v>
      </c>
      <c r="B549" t="s">
        <v>1146</v>
      </c>
      <c r="C549" t="str">
        <f>"17936277598213439"</f>
        <v>17936277598213439</v>
      </c>
      <c r="D549" t="s">
        <v>1147</v>
      </c>
      <c r="E549" t="s">
        <v>1148</v>
      </c>
      <c r="F549" t="s">
        <v>1149</v>
      </c>
      <c r="G549" t="s">
        <v>1150</v>
      </c>
    </row>
    <row r="550" spans="1:7" x14ac:dyDescent="0.25">
      <c r="A550">
        <v>419854676</v>
      </c>
      <c r="B550" t="s">
        <v>1151</v>
      </c>
      <c r="C550" t="str">
        <f>"18000357367079580"</f>
        <v>18000357367079580</v>
      </c>
      <c r="D550" t="s">
        <v>1152</v>
      </c>
      <c r="E550" t="s">
        <v>1153</v>
      </c>
      <c r="F550" t="s">
        <v>1154</v>
      </c>
      <c r="G550" t="s">
        <v>1155</v>
      </c>
    </row>
    <row r="551" spans="1:7" x14ac:dyDescent="0.25">
      <c r="A551">
        <v>42242635</v>
      </c>
      <c r="B551" t="s">
        <v>1146</v>
      </c>
      <c r="C551" t="str">
        <f>"17936277598213439"</f>
        <v>17936277598213439</v>
      </c>
      <c r="D551" t="s">
        <v>1147</v>
      </c>
      <c r="E551" t="s">
        <v>1148</v>
      </c>
      <c r="F551" t="s">
        <v>1149</v>
      </c>
      <c r="G551" t="s">
        <v>1150</v>
      </c>
    </row>
    <row r="552" spans="1:7" x14ac:dyDescent="0.25">
      <c r="A552">
        <v>419854676</v>
      </c>
      <c r="B552" t="s">
        <v>1151</v>
      </c>
      <c r="C552" t="str">
        <f>"18000357367079580"</f>
        <v>18000357367079580</v>
      </c>
      <c r="D552" t="s">
        <v>1152</v>
      </c>
      <c r="E552" t="s">
        <v>1153</v>
      </c>
      <c r="F552" t="s">
        <v>1154</v>
      </c>
      <c r="G552" t="s">
        <v>1155</v>
      </c>
    </row>
    <row r="553" spans="1:7" x14ac:dyDescent="0.25">
      <c r="A553">
        <v>41968892</v>
      </c>
      <c r="B553" t="s">
        <v>1156</v>
      </c>
      <c r="C553" t="str">
        <f>"17871021547025894"</f>
        <v>17871021547025894</v>
      </c>
      <c r="D553" t="s">
        <v>23</v>
      </c>
      <c r="E553" t="s">
        <v>1157</v>
      </c>
      <c r="F553" t="s">
        <v>1158</v>
      </c>
      <c r="G553" t="s">
        <v>1159</v>
      </c>
    </row>
    <row r="554" spans="1:7" x14ac:dyDescent="0.25">
      <c r="A554">
        <v>41968892</v>
      </c>
      <c r="B554" t="s">
        <v>1156</v>
      </c>
      <c r="C554" t="str">
        <f>"17871021547025894"</f>
        <v>17871021547025894</v>
      </c>
      <c r="D554" t="s">
        <v>23</v>
      </c>
      <c r="E554" t="s">
        <v>1157</v>
      </c>
      <c r="F554" t="s">
        <v>1158</v>
      </c>
      <c r="G554" t="s">
        <v>1159</v>
      </c>
    </row>
    <row r="555" spans="1:7" x14ac:dyDescent="0.25">
      <c r="A555">
        <v>3073944483</v>
      </c>
      <c r="B555" t="s">
        <v>1160</v>
      </c>
      <c r="C555" t="str">
        <f>"17847271006162878"</f>
        <v>17847271006162878</v>
      </c>
      <c r="D555" t="s">
        <v>1161</v>
      </c>
      <c r="E555" t="s">
        <v>1162</v>
      </c>
      <c r="F555" t="s">
        <v>1163</v>
      </c>
      <c r="G555" t="s">
        <v>1164</v>
      </c>
    </row>
    <row r="556" spans="1:7" x14ac:dyDescent="0.25">
      <c r="A556">
        <v>1998536737</v>
      </c>
      <c r="B556" t="s">
        <v>1165</v>
      </c>
      <c r="C556" t="str">
        <f>"17859480280100319"</f>
        <v>17859480280100319</v>
      </c>
      <c r="D556" t="s">
        <v>1166</v>
      </c>
      <c r="E556" t="s">
        <v>1167</v>
      </c>
      <c r="F556" t="s">
        <v>1168</v>
      </c>
      <c r="G556" t="s">
        <v>1169</v>
      </c>
    </row>
    <row r="557" spans="1:7" x14ac:dyDescent="0.25">
      <c r="A557">
        <v>3069531729</v>
      </c>
      <c r="B557" t="s">
        <v>1170</v>
      </c>
      <c r="C557" t="str">
        <f>"17869021327004652"</f>
        <v>17869021327004652</v>
      </c>
      <c r="D557" t="s">
        <v>1171</v>
      </c>
      <c r="E557" t="s">
        <v>1172</v>
      </c>
      <c r="F557" t="s">
        <v>1173</v>
      </c>
      <c r="G557" t="s">
        <v>1174</v>
      </c>
    </row>
    <row r="558" spans="1:7" x14ac:dyDescent="0.25">
      <c r="A558">
        <v>302278042</v>
      </c>
      <c r="B558" t="s">
        <v>1175</v>
      </c>
      <c r="C558" t="str">
        <f>"17846988598157927"</f>
        <v>17846988598157927</v>
      </c>
      <c r="D558" t="s">
        <v>913</v>
      </c>
      <c r="E558" t="s">
        <v>1176</v>
      </c>
      <c r="F558" t="s">
        <v>1177</v>
      </c>
      <c r="G558" t="s">
        <v>1178</v>
      </c>
    </row>
    <row r="559" spans="1:7" x14ac:dyDescent="0.25">
      <c r="A559">
        <v>3137110274</v>
      </c>
      <c r="B559" t="s">
        <v>1179</v>
      </c>
      <c r="C559" t="str">
        <f>"17868626023008957"</f>
        <v>17868626023008957</v>
      </c>
      <c r="D559" t="s">
        <v>1180</v>
      </c>
      <c r="E559" t="s">
        <v>1181</v>
      </c>
      <c r="F559" t="s">
        <v>1182</v>
      </c>
      <c r="G559" t="s">
        <v>1183</v>
      </c>
    </row>
    <row r="560" spans="1:7" x14ac:dyDescent="0.25">
      <c r="A560">
        <v>3069531729</v>
      </c>
      <c r="B560" t="s">
        <v>1170</v>
      </c>
      <c r="C560" t="str">
        <f>"17869021327004652"</f>
        <v>17869021327004652</v>
      </c>
      <c r="D560" t="s">
        <v>1171</v>
      </c>
      <c r="E560" t="s">
        <v>1172</v>
      </c>
      <c r="F560" t="s">
        <v>1173</v>
      </c>
      <c r="G560" t="s">
        <v>1174</v>
      </c>
    </row>
    <row r="561" spans="1:7" x14ac:dyDescent="0.25">
      <c r="A561">
        <v>302278042</v>
      </c>
      <c r="B561" t="s">
        <v>1175</v>
      </c>
      <c r="C561" t="str">
        <f>"17846988598157927"</f>
        <v>17846988598157927</v>
      </c>
      <c r="D561" t="s">
        <v>913</v>
      </c>
      <c r="E561" t="s">
        <v>1176</v>
      </c>
      <c r="F561" t="s">
        <v>1177</v>
      </c>
      <c r="G561" t="s">
        <v>1178</v>
      </c>
    </row>
    <row r="562" spans="1:7" x14ac:dyDescent="0.25">
      <c r="A562">
        <v>3137110274</v>
      </c>
      <c r="B562" t="s">
        <v>1179</v>
      </c>
      <c r="C562" t="str">
        <f>"17868626023008957"</f>
        <v>17868626023008957</v>
      </c>
      <c r="D562" t="s">
        <v>1180</v>
      </c>
      <c r="E562" t="s">
        <v>1181</v>
      </c>
      <c r="F562" t="s">
        <v>1182</v>
      </c>
      <c r="G562" t="s">
        <v>1183</v>
      </c>
    </row>
    <row r="563" spans="1:7" x14ac:dyDescent="0.25">
      <c r="A563">
        <v>3069531729</v>
      </c>
      <c r="B563" t="s">
        <v>1170</v>
      </c>
      <c r="C563" t="str">
        <f>"17869021327004652"</f>
        <v>17869021327004652</v>
      </c>
      <c r="D563" t="s">
        <v>1171</v>
      </c>
      <c r="E563" t="s">
        <v>1172</v>
      </c>
      <c r="F563" t="s">
        <v>1173</v>
      </c>
      <c r="G563" t="s">
        <v>1174</v>
      </c>
    </row>
    <row r="564" spans="1:7" x14ac:dyDescent="0.25">
      <c r="A564">
        <v>302278042</v>
      </c>
      <c r="B564" t="s">
        <v>1175</v>
      </c>
      <c r="C564" t="str">
        <f>"17846988598157927"</f>
        <v>17846988598157927</v>
      </c>
      <c r="D564" t="s">
        <v>913</v>
      </c>
      <c r="E564" t="s">
        <v>1176</v>
      </c>
      <c r="F564" t="s">
        <v>1177</v>
      </c>
      <c r="G564" t="s">
        <v>1178</v>
      </c>
    </row>
    <row r="565" spans="1:7" x14ac:dyDescent="0.25">
      <c r="A565">
        <v>3137110274</v>
      </c>
      <c r="B565" t="s">
        <v>1179</v>
      </c>
      <c r="C565" t="str">
        <f>"17868626023008957"</f>
        <v>17868626023008957</v>
      </c>
      <c r="D565" t="s">
        <v>1180</v>
      </c>
      <c r="E565" t="s">
        <v>1181</v>
      </c>
      <c r="F565" t="s">
        <v>1182</v>
      </c>
      <c r="G565" t="s">
        <v>1183</v>
      </c>
    </row>
    <row r="566" spans="1:7" x14ac:dyDescent="0.25">
      <c r="A566">
        <v>1776656570</v>
      </c>
      <c r="B566" t="s">
        <v>1184</v>
      </c>
      <c r="C566" t="str">
        <f>"17857558663093964"</f>
        <v>17857558663093964</v>
      </c>
      <c r="D566" t="s">
        <v>1185</v>
      </c>
      <c r="E566" t="s">
        <v>1186</v>
      </c>
      <c r="F566" t="s">
        <v>1187</v>
      </c>
      <c r="G566" t="s">
        <v>1188</v>
      </c>
    </row>
    <row r="567" spans="1:7" x14ac:dyDescent="0.25">
      <c r="A567">
        <v>1334461694</v>
      </c>
      <c r="B567" t="s">
        <v>1189</v>
      </c>
      <c r="C567" t="str">
        <f>"17870142979015444"</f>
        <v>17870142979015444</v>
      </c>
      <c r="D567" t="s">
        <v>1190</v>
      </c>
      <c r="E567" t="s">
        <v>1191</v>
      </c>
      <c r="F567" t="s">
        <v>1192</v>
      </c>
      <c r="G567" t="s">
        <v>1193</v>
      </c>
    </row>
    <row r="568" spans="1:7" x14ac:dyDescent="0.25">
      <c r="A568">
        <v>42457320</v>
      </c>
      <c r="B568" t="s">
        <v>1194</v>
      </c>
      <c r="C568" t="str">
        <f>"17847085324191765"</f>
        <v>17847085324191765</v>
      </c>
      <c r="D568" t="s">
        <v>1195</v>
      </c>
      <c r="E568" t="s">
        <v>1196</v>
      </c>
      <c r="F568" t="s">
        <v>1197</v>
      </c>
      <c r="G568" t="s">
        <v>1198</v>
      </c>
    </row>
    <row r="569" spans="1:7" x14ac:dyDescent="0.25">
      <c r="A569">
        <v>723987313</v>
      </c>
      <c r="B569" t="s">
        <v>1199</v>
      </c>
      <c r="C569" t="str">
        <f>"17849094727131768"</f>
        <v>17849094727131768</v>
      </c>
      <c r="D569" t="s">
        <v>806</v>
      </c>
      <c r="E569" t="s">
        <v>1200</v>
      </c>
      <c r="F569" t="s">
        <v>1201</v>
      </c>
      <c r="G569" t="s">
        <v>1202</v>
      </c>
    </row>
    <row r="570" spans="1:7" x14ac:dyDescent="0.25">
      <c r="A570">
        <v>1334461694</v>
      </c>
      <c r="B570" t="s">
        <v>1189</v>
      </c>
      <c r="C570" t="str">
        <f>"17870142979015444"</f>
        <v>17870142979015444</v>
      </c>
      <c r="D570" t="s">
        <v>1190</v>
      </c>
      <c r="E570" t="s">
        <v>1191</v>
      </c>
      <c r="F570" t="s">
        <v>1192</v>
      </c>
      <c r="G570" t="s">
        <v>1203</v>
      </c>
    </row>
    <row r="571" spans="1:7" x14ac:dyDescent="0.25">
      <c r="A571">
        <v>42457320</v>
      </c>
      <c r="B571" t="s">
        <v>1194</v>
      </c>
      <c r="C571" t="str">
        <f>"17847085324191765"</f>
        <v>17847085324191765</v>
      </c>
      <c r="D571" t="s">
        <v>1195</v>
      </c>
      <c r="E571" t="s">
        <v>1196</v>
      </c>
      <c r="F571" t="s">
        <v>1197</v>
      </c>
      <c r="G571" t="s">
        <v>1204</v>
      </c>
    </row>
    <row r="572" spans="1:7" x14ac:dyDescent="0.25">
      <c r="A572">
        <v>723987313</v>
      </c>
      <c r="B572" t="s">
        <v>1199</v>
      </c>
      <c r="C572" t="str">
        <f>"17849094727131768"</f>
        <v>17849094727131768</v>
      </c>
      <c r="D572" t="s">
        <v>806</v>
      </c>
      <c r="E572" t="s">
        <v>1200</v>
      </c>
      <c r="F572" t="s">
        <v>1201</v>
      </c>
      <c r="G572" t="s">
        <v>1205</v>
      </c>
    </row>
    <row r="573" spans="1:7" x14ac:dyDescent="0.25">
      <c r="A573">
        <v>1334461694</v>
      </c>
      <c r="B573" t="s">
        <v>1189</v>
      </c>
      <c r="C573" t="str">
        <f>"17870142979015444"</f>
        <v>17870142979015444</v>
      </c>
      <c r="D573" t="s">
        <v>1190</v>
      </c>
      <c r="E573" t="s">
        <v>1191</v>
      </c>
      <c r="F573" t="s">
        <v>1192</v>
      </c>
      <c r="G573" t="s">
        <v>1203</v>
      </c>
    </row>
    <row r="574" spans="1:7" x14ac:dyDescent="0.25">
      <c r="A574">
        <v>42457320</v>
      </c>
      <c r="B574" t="s">
        <v>1194</v>
      </c>
      <c r="C574" t="str">
        <f>"17847085324191765"</f>
        <v>17847085324191765</v>
      </c>
      <c r="D574" t="s">
        <v>1195</v>
      </c>
      <c r="E574" t="s">
        <v>1196</v>
      </c>
      <c r="F574" t="s">
        <v>1197</v>
      </c>
      <c r="G574" t="s">
        <v>1204</v>
      </c>
    </row>
    <row r="575" spans="1:7" x14ac:dyDescent="0.25">
      <c r="A575">
        <v>723987313</v>
      </c>
      <c r="B575" t="s">
        <v>1199</v>
      </c>
      <c r="C575" t="str">
        <f>"17849094727131768"</f>
        <v>17849094727131768</v>
      </c>
      <c r="D575" t="s">
        <v>806</v>
      </c>
      <c r="E575" t="s">
        <v>1200</v>
      </c>
      <c r="F575" t="s">
        <v>1201</v>
      </c>
      <c r="G575" t="s">
        <v>1205</v>
      </c>
    </row>
    <row r="576" spans="1:7" x14ac:dyDescent="0.25">
      <c r="A576">
        <v>1334461694</v>
      </c>
      <c r="B576" t="s">
        <v>1189</v>
      </c>
      <c r="C576" t="str">
        <f>"17870142979015444"</f>
        <v>17870142979015444</v>
      </c>
      <c r="D576" t="s">
        <v>1190</v>
      </c>
      <c r="E576" t="s">
        <v>1191</v>
      </c>
      <c r="F576" t="s">
        <v>1192</v>
      </c>
      <c r="G576" t="s">
        <v>1193</v>
      </c>
    </row>
    <row r="577" spans="1:7" x14ac:dyDescent="0.25">
      <c r="A577">
        <v>42457320</v>
      </c>
      <c r="B577" t="s">
        <v>1194</v>
      </c>
      <c r="C577" t="str">
        <f>"17847085324191765"</f>
        <v>17847085324191765</v>
      </c>
      <c r="D577" t="s">
        <v>1195</v>
      </c>
      <c r="E577" t="s">
        <v>1196</v>
      </c>
      <c r="F577" t="s">
        <v>1197</v>
      </c>
      <c r="G577" t="s">
        <v>1198</v>
      </c>
    </row>
    <row r="578" spans="1:7" x14ac:dyDescent="0.25">
      <c r="A578">
        <v>723987313</v>
      </c>
      <c r="B578" t="s">
        <v>1199</v>
      </c>
      <c r="C578" t="str">
        <f>"17849094727131768"</f>
        <v>17849094727131768</v>
      </c>
      <c r="D578" t="s">
        <v>806</v>
      </c>
      <c r="E578" t="s">
        <v>1200</v>
      </c>
      <c r="F578" t="s">
        <v>1201</v>
      </c>
      <c r="G578" t="s">
        <v>1202</v>
      </c>
    </row>
    <row r="579" spans="1:7" x14ac:dyDescent="0.25">
      <c r="A579">
        <v>3109474157</v>
      </c>
      <c r="B579" t="s">
        <v>1206</v>
      </c>
      <c r="C579" t="str">
        <f>"17858415064090724"</f>
        <v>17858415064090724</v>
      </c>
      <c r="D579" t="s">
        <v>1207</v>
      </c>
      <c r="E579" t="s">
        <v>1208</v>
      </c>
      <c r="F579" t="s">
        <v>1209</v>
      </c>
      <c r="G579" t="s">
        <v>1210</v>
      </c>
    </row>
    <row r="580" spans="1:7" x14ac:dyDescent="0.25">
      <c r="A580">
        <v>3109474157</v>
      </c>
      <c r="B580" t="s">
        <v>1206</v>
      </c>
      <c r="C580" t="str">
        <f>"17858415064090724"</f>
        <v>17858415064090724</v>
      </c>
      <c r="D580" t="s">
        <v>1207</v>
      </c>
      <c r="E580" t="s">
        <v>1208</v>
      </c>
      <c r="F580" t="s">
        <v>1209</v>
      </c>
      <c r="G580" t="s">
        <v>1211</v>
      </c>
    </row>
    <row r="581" spans="1:7" x14ac:dyDescent="0.25">
      <c r="A581">
        <v>3109474157</v>
      </c>
      <c r="B581" t="s">
        <v>1206</v>
      </c>
      <c r="C581" t="str">
        <f>"17858415064090724"</f>
        <v>17858415064090724</v>
      </c>
      <c r="D581" t="s">
        <v>1207</v>
      </c>
      <c r="E581" t="s">
        <v>1208</v>
      </c>
      <c r="F581" t="s">
        <v>1209</v>
      </c>
      <c r="G581" t="s">
        <v>1210</v>
      </c>
    </row>
    <row r="582" spans="1:7" x14ac:dyDescent="0.25">
      <c r="A582">
        <v>2923424595</v>
      </c>
      <c r="B582" t="s">
        <v>1212</v>
      </c>
      <c r="C582" t="str">
        <f>"17858387608083932"</f>
        <v>17858387608083932</v>
      </c>
      <c r="D582" t="s">
        <v>1213</v>
      </c>
      <c r="E582" t="s">
        <v>1214</v>
      </c>
      <c r="F582" t="s">
        <v>1215</v>
      </c>
      <c r="G582" t="s">
        <v>1216</v>
      </c>
    </row>
    <row r="583" spans="1:7" x14ac:dyDescent="0.25">
      <c r="A583">
        <v>182044074</v>
      </c>
      <c r="B583" t="s">
        <v>1217</v>
      </c>
      <c r="C583" t="str">
        <f>"17847980158161058"</f>
        <v>17847980158161058</v>
      </c>
      <c r="D583" t="s">
        <v>1218</v>
      </c>
      <c r="E583" t="s">
        <v>1219</v>
      </c>
      <c r="F583" t="s">
        <v>1220</v>
      </c>
      <c r="G583" t="s">
        <v>1221</v>
      </c>
    </row>
    <row r="584" spans="1:7" x14ac:dyDescent="0.25">
      <c r="A584">
        <v>2923424595</v>
      </c>
      <c r="B584" t="s">
        <v>1212</v>
      </c>
      <c r="C584" t="str">
        <f>"17858387608083932"</f>
        <v>17858387608083932</v>
      </c>
      <c r="D584" t="s">
        <v>1213</v>
      </c>
      <c r="E584" t="s">
        <v>1214</v>
      </c>
      <c r="F584" t="s">
        <v>1215</v>
      </c>
      <c r="G584" t="s">
        <v>1216</v>
      </c>
    </row>
    <row r="585" spans="1:7" x14ac:dyDescent="0.25">
      <c r="A585">
        <v>182044074</v>
      </c>
      <c r="B585" t="s">
        <v>1217</v>
      </c>
      <c r="C585" t="str">
        <f>"17847980158161058"</f>
        <v>17847980158161058</v>
      </c>
      <c r="D585" t="s">
        <v>1218</v>
      </c>
      <c r="E585" t="s">
        <v>1219</v>
      </c>
      <c r="F585" t="s">
        <v>1220</v>
      </c>
      <c r="G585" t="s">
        <v>1221</v>
      </c>
    </row>
    <row r="586" spans="1:7" x14ac:dyDescent="0.25">
      <c r="A586">
        <v>697998936</v>
      </c>
      <c r="B586" t="s">
        <v>1222</v>
      </c>
      <c r="C586" t="str">
        <f>"17872090537028649"</f>
        <v>17872090537028649</v>
      </c>
      <c r="D586" t="s">
        <v>1223</v>
      </c>
      <c r="E586" t="s">
        <v>1224</v>
      </c>
      <c r="F586" t="s">
        <v>1225</v>
      </c>
      <c r="G586" t="s">
        <v>1226</v>
      </c>
    </row>
    <row r="587" spans="1:7" x14ac:dyDescent="0.25">
      <c r="A587">
        <v>1558829136</v>
      </c>
      <c r="B587" t="s">
        <v>1227</v>
      </c>
      <c r="C587" t="str">
        <f>"17870511046011272"</f>
        <v>17870511046011272</v>
      </c>
      <c r="D587" t="s">
        <v>689</v>
      </c>
      <c r="E587" t="s">
        <v>1228</v>
      </c>
      <c r="F587" t="s">
        <v>1229</v>
      </c>
      <c r="G587" t="s">
        <v>1230</v>
      </c>
    </row>
    <row r="588" spans="1:7" x14ac:dyDescent="0.25">
      <c r="A588">
        <v>1476024175</v>
      </c>
      <c r="B588" t="s">
        <v>1231</v>
      </c>
      <c r="C588" t="str">
        <f>"17870708569005469"</f>
        <v>17870708569005469</v>
      </c>
      <c r="D588" t="s">
        <v>784</v>
      </c>
      <c r="E588" t="s">
        <v>1232</v>
      </c>
      <c r="F588" t="s">
        <v>1233</v>
      </c>
      <c r="G588" t="s">
        <v>1234</v>
      </c>
    </row>
    <row r="589" spans="1:7" x14ac:dyDescent="0.25">
      <c r="A589">
        <v>2128143383</v>
      </c>
      <c r="B589" t="s">
        <v>1235</v>
      </c>
      <c r="C589" t="str">
        <f>"17861805412076826"</f>
        <v>17861805412076826</v>
      </c>
      <c r="D589" t="s">
        <v>152</v>
      </c>
      <c r="E589" t="s">
        <v>1236</v>
      </c>
      <c r="F589" t="s">
        <v>1237</v>
      </c>
      <c r="G589" t="s">
        <v>1238</v>
      </c>
    </row>
    <row r="590" spans="1:7" x14ac:dyDescent="0.25">
      <c r="A590">
        <v>3109474157</v>
      </c>
      <c r="B590" t="s">
        <v>1206</v>
      </c>
      <c r="C590" t="str">
        <f>"17871177868059499"</f>
        <v>17871177868059499</v>
      </c>
      <c r="D590" t="s">
        <v>1239</v>
      </c>
      <c r="E590" t="s">
        <v>1240</v>
      </c>
      <c r="F590" t="s">
        <v>1209</v>
      </c>
      <c r="G590" t="s">
        <v>1241</v>
      </c>
    </row>
    <row r="591" spans="1:7" x14ac:dyDescent="0.25">
      <c r="A591">
        <v>697998936</v>
      </c>
      <c r="B591" t="s">
        <v>1222</v>
      </c>
      <c r="C591" t="str">
        <f>"17872090537028649"</f>
        <v>17872090537028649</v>
      </c>
      <c r="D591" t="s">
        <v>1223</v>
      </c>
      <c r="E591" t="s">
        <v>1224</v>
      </c>
      <c r="F591" t="s">
        <v>1225</v>
      </c>
      <c r="G591" t="s">
        <v>1226</v>
      </c>
    </row>
    <row r="592" spans="1:7" x14ac:dyDescent="0.25">
      <c r="A592">
        <v>1558829136</v>
      </c>
      <c r="B592" t="s">
        <v>1227</v>
      </c>
      <c r="C592" t="str">
        <f>"17870511046011272"</f>
        <v>17870511046011272</v>
      </c>
      <c r="D592" t="s">
        <v>689</v>
      </c>
      <c r="E592" t="s">
        <v>1228</v>
      </c>
      <c r="F592" t="s">
        <v>1229</v>
      </c>
      <c r="G592" t="s">
        <v>1230</v>
      </c>
    </row>
    <row r="593" spans="1:7" x14ac:dyDescent="0.25">
      <c r="A593">
        <v>1476024175</v>
      </c>
      <c r="B593" t="s">
        <v>1231</v>
      </c>
      <c r="C593" t="str">
        <f>"17870708569005469"</f>
        <v>17870708569005469</v>
      </c>
      <c r="D593" t="s">
        <v>784</v>
      </c>
      <c r="E593" t="s">
        <v>1232</v>
      </c>
      <c r="F593" t="s">
        <v>1233</v>
      </c>
      <c r="G593" t="s">
        <v>1234</v>
      </c>
    </row>
    <row r="594" spans="1:7" x14ac:dyDescent="0.25">
      <c r="A594">
        <v>2128143383</v>
      </c>
      <c r="B594" t="s">
        <v>1235</v>
      </c>
      <c r="C594" t="str">
        <f>"17861805412076826"</f>
        <v>17861805412076826</v>
      </c>
      <c r="D594" t="s">
        <v>152</v>
      </c>
      <c r="E594" t="s">
        <v>1236</v>
      </c>
      <c r="F594" t="s">
        <v>1237</v>
      </c>
      <c r="G594" t="s">
        <v>1238</v>
      </c>
    </row>
    <row r="595" spans="1:7" x14ac:dyDescent="0.25">
      <c r="A595">
        <v>3109474157</v>
      </c>
      <c r="B595" t="s">
        <v>1206</v>
      </c>
      <c r="C595" t="str">
        <f>"17871177868059499"</f>
        <v>17871177868059499</v>
      </c>
      <c r="D595" t="s">
        <v>1239</v>
      </c>
      <c r="E595" t="s">
        <v>1240</v>
      </c>
      <c r="F595" t="s">
        <v>1209</v>
      </c>
      <c r="G595" t="s">
        <v>1241</v>
      </c>
    </row>
    <row r="596" spans="1:7" x14ac:dyDescent="0.25">
      <c r="A596">
        <v>509367518</v>
      </c>
      <c r="B596" t="s">
        <v>1242</v>
      </c>
      <c r="C596" t="str">
        <f>"17850808807151709"</f>
        <v>17850808807151709</v>
      </c>
      <c r="D596" t="s">
        <v>1243</v>
      </c>
      <c r="E596" t="s">
        <v>1244</v>
      </c>
      <c r="F596" t="s">
        <v>1245</v>
      </c>
      <c r="G596" t="s">
        <v>1246</v>
      </c>
    </row>
    <row r="597" spans="1:7" x14ac:dyDescent="0.25">
      <c r="A597">
        <v>509367518</v>
      </c>
      <c r="B597" t="s">
        <v>1242</v>
      </c>
      <c r="C597" t="str">
        <f>"17850808807151709"</f>
        <v>17850808807151709</v>
      </c>
      <c r="D597" t="s">
        <v>1243</v>
      </c>
      <c r="E597" t="s">
        <v>1244</v>
      </c>
      <c r="F597" t="s">
        <v>1245</v>
      </c>
      <c r="G597" t="s">
        <v>1247</v>
      </c>
    </row>
    <row r="598" spans="1:7" x14ac:dyDescent="0.25">
      <c r="A598">
        <v>509367518</v>
      </c>
      <c r="B598" t="s">
        <v>1242</v>
      </c>
      <c r="C598" t="str">
        <f>"17850787576148694"</f>
        <v>17850787576148694</v>
      </c>
      <c r="D598" t="s">
        <v>1248</v>
      </c>
      <c r="E598" t="s">
        <v>1249</v>
      </c>
      <c r="F598" t="s">
        <v>1245</v>
      </c>
      <c r="G598" t="s">
        <v>1250</v>
      </c>
    </row>
    <row r="599" spans="1:7" x14ac:dyDescent="0.25">
      <c r="A599">
        <v>8140745</v>
      </c>
      <c r="B599" t="s">
        <v>1251</v>
      </c>
      <c r="C599" t="str">
        <f>"17862465301129563"</f>
        <v>17862465301129563</v>
      </c>
      <c r="D599" t="s">
        <v>1252</v>
      </c>
      <c r="E599" t="s">
        <v>1253</v>
      </c>
      <c r="F599" t="s">
        <v>1254</v>
      </c>
      <c r="G599" t="s">
        <v>1255</v>
      </c>
    </row>
    <row r="600" spans="1:7" x14ac:dyDescent="0.25">
      <c r="A600">
        <v>509367518</v>
      </c>
      <c r="B600" t="s">
        <v>1242</v>
      </c>
      <c r="C600" t="str">
        <f>"17850787576148694"</f>
        <v>17850787576148694</v>
      </c>
      <c r="D600" t="s">
        <v>1248</v>
      </c>
      <c r="E600" t="s">
        <v>1249</v>
      </c>
      <c r="F600" t="s">
        <v>1245</v>
      </c>
      <c r="G600" t="s">
        <v>1256</v>
      </c>
    </row>
    <row r="601" spans="1:7" x14ac:dyDescent="0.25">
      <c r="A601">
        <v>8140745</v>
      </c>
      <c r="B601" t="s">
        <v>1251</v>
      </c>
      <c r="C601" t="str">
        <f>"17862465301129563"</f>
        <v>17862465301129563</v>
      </c>
      <c r="D601" t="s">
        <v>1252</v>
      </c>
      <c r="E601" t="s">
        <v>1253</v>
      </c>
      <c r="F601" t="s">
        <v>1254</v>
      </c>
      <c r="G601" t="s">
        <v>1257</v>
      </c>
    </row>
    <row r="602" spans="1:7" x14ac:dyDescent="0.25">
      <c r="A602">
        <v>50525462</v>
      </c>
      <c r="B602" t="s">
        <v>1043</v>
      </c>
      <c r="C602" t="str">
        <f>"17861636503124706"</f>
        <v>17861636503124706</v>
      </c>
      <c r="D602" t="s">
        <v>1258</v>
      </c>
      <c r="E602" t="s">
        <v>1259</v>
      </c>
      <c r="F602" t="s">
        <v>1046</v>
      </c>
      <c r="G602" t="s">
        <v>1260</v>
      </c>
    </row>
    <row r="603" spans="1:7" x14ac:dyDescent="0.25">
      <c r="A603">
        <v>3221024610</v>
      </c>
      <c r="B603" t="s">
        <v>1261</v>
      </c>
      <c r="C603" t="str">
        <f>"17860894330084692"</f>
        <v>17860894330084692</v>
      </c>
      <c r="D603" t="s">
        <v>1262</v>
      </c>
      <c r="E603" t="s">
        <v>1263</v>
      </c>
      <c r="F603" t="s">
        <v>1264</v>
      </c>
      <c r="G603" t="s">
        <v>1265</v>
      </c>
    </row>
    <row r="604" spans="1:7" x14ac:dyDescent="0.25">
      <c r="A604">
        <v>3667522304</v>
      </c>
      <c r="B604" t="s">
        <v>1266</v>
      </c>
      <c r="C604" t="str">
        <f>"17860793452083447"</f>
        <v>17860793452083447</v>
      </c>
      <c r="D604" t="s">
        <v>1267</v>
      </c>
      <c r="E604" t="s">
        <v>1268</v>
      </c>
      <c r="F604" t="s">
        <v>1269</v>
      </c>
      <c r="G604" t="s">
        <v>1270</v>
      </c>
    </row>
    <row r="605" spans="1:7" x14ac:dyDescent="0.25">
      <c r="A605">
        <v>1125969285</v>
      </c>
      <c r="B605" t="s">
        <v>1271</v>
      </c>
      <c r="C605" t="str">
        <f>"17850963373153786"</f>
        <v>17850963373153786</v>
      </c>
      <c r="D605" t="s">
        <v>1272</v>
      </c>
      <c r="E605" t="s">
        <v>1273</v>
      </c>
      <c r="F605" t="s">
        <v>1274</v>
      </c>
      <c r="G605" t="s">
        <v>1275</v>
      </c>
    </row>
    <row r="606" spans="1:7" x14ac:dyDescent="0.25">
      <c r="A606">
        <v>50525462</v>
      </c>
      <c r="B606" t="s">
        <v>1043</v>
      </c>
      <c r="C606" t="str">
        <f>"17861636503124706"</f>
        <v>17861636503124706</v>
      </c>
      <c r="D606" t="s">
        <v>1258</v>
      </c>
      <c r="E606" t="s">
        <v>1259</v>
      </c>
      <c r="F606" t="s">
        <v>1046</v>
      </c>
      <c r="G606" t="s">
        <v>1260</v>
      </c>
    </row>
    <row r="607" spans="1:7" x14ac:dyDescent="0.25">
      <c r="A607">
        <v>3221024610</v>
      </c>
      <c r="B607" t="s">
        <v>1261</v>
      </c>
      <c r="C607" t="str">
        <f>"17860894330084692"</f>
        <v>17860894330084692</v>
      </c>
      <c r="D607" t="s">
        <v>1262</v>
      </c>
      <c r="E607" t="s">
        <v>1263</v>
      </c>
      <c r="F607" t="s">
        <v>1264</v>
      </c>
      <c r="G607" t="s">
        <v>1265</v>
      </c>
    </row>
    <row r="608" spans="1:7" x14ac:dyDescent="0.25">
      <c r="A608">
        <v>3667522304</v>
      </c>
      <c r="B608" t="s">
        <v>1266</v>
      </c>
      <c r="C608" t="str">
        <f>"17860793452083447"</f>
        <v>17860793452083447</v>
      </c>
      <c r="D608" t="s">
        <v>1267</v>
      </c>
      <c r="E608" t="s">
        <v>1268</v>
      </c>
      <c r="F608" t="s">
        <v>1269</v>
      </c>
      <c r="G608" t="s">
        <v>1270</v>
      </c>
    </row>
    <row r="609" spans="1:7" x14ac:dyDescent="0.25">
      <c r="A609">
        <v>1125969285</v>
      </c>
      <c r="B609" t="s">
        <v>1271</v>
      </c>
      <c r="C609" t="str">
        <f>"17850963373153786"</f>
        <v>17850963373153786</v>
      </c>
      <c r="D609" t="s">
        <v>1272</v>
      </c>
      <c r="E609" t="s">
        <v>1273</v>
      </c>
      <c r="F609" t="s">
        <v>1274</v>
      </c>
      <c r="G609" t="s">
        <v>1275</v>
      </c>
    </row>
    <row r="610" spans="1:7" x14ac:dyDescent="0.25">
      <c r="A610">
        <v>50525462</v>
      </c>
      <c r="B610" t="s">
        <v>1043</v>
      </c>
      <c r="C610" t="str">
        <f>"17861636503124706"</f>
        <v>17861636503124706</v>
      </c>
      <c r="D610" t="s">
        <v>1258</v>
      </c>
      <c r="E610" t="s">
        <v>1259</v>
      </c>
      <c r="F610" t="s">
        <v>1046</v>
      </c>
      <c r="G610" t="s">
        <v>1260</v>
      </c>
    </row>
    <row r="611" spans="1:7" x14ac:dyDescent="0.25">
      <c r="A611">
        <v>3221024610</v>
      </c>
      <c r="B611" t="s">
        <v>1261</v>
      </c>
      <c r="C611" t="str">
        <f>"17860894330084692"</f>
        <v>17860894330084692</v>
      </c>
      <c r="D611" t="s">
        <v>1262</v>
      </c>
      <c r="E611" t="s">
        <v>1263</v>
      </c>
      <c r="F611" t="s">
        <v>1264</v>
      </c>
      <c r="G611" t="s">
        <v>1265</v>
      </c>
    </row>
    <row r="612" spans="1:7" x14ac:dyDescent="0.25">
      <c r="A612">
        <v>3667522304</v>
      </c>
      <c r="B612" t="s">
        <v>1266</v>
      </c>
      <c r="C612" t="str">
        <f>"17860793452083447"</f>
        <v>17860793452083447</v>
      </c>
      <c r="D612" t="s">
        <v>1267</v>
      </c>
      <c r="E612" t="s">
        <v>1268</v>
      </c>
      <c r="F612" t="s">
        <v>1269</v>
      </c>
      <c r="G612" t="s">
        <v>1270</v>
      </c>
    </row>
    <row r="613" spans="1:7" x14ac:dyDescent="0.25">
      <c r="A613">
        <v>1125969285</v>
      </c>
      <c r="B613" t="s">
        <v>1271</v>
      </c>
      <c r="C613" t="str">
        <f>"17850963373153786"</f>
        <v>17850963373153786</v>
      </c>
      <c r="D613" t="s">
        <v>1272</v>
      </c>
      <c r="E613" t="s">
        <v>1273</v>
      </c>
      <c r="F613" t="s">
        <v>1274</v>
      </c>
      <c r="G613" t="s">
        <v>1275</v>
      </c>
    </row>
    <row r="614" spans="1:7" x14ac:dyDescent="0.25">
      <c r="A614">
        <v>1641028623</v>
      </c>
      <c r="B614" t="s">
        <v>1276</v>
      </c>
      <c r="C614" t="str">
        <f>"17859089863087957"</f>
        <v>17859089863087957</v>
      </c>
      <c r="D614" t="s">
        <v>1277</v>
      </c>
      <c r="E614" t="s">
        <v>1278</v>
      </c>
      <c r="F614" t="s">
        <v>1279</v>
      </c>
      <c r="G614" t="s">
        <v>1280</v>
      </c>
    </row>
    <row r="615" spans="1:7" x14ac:dyDescent="0.25">
      <c r="A615">
        <v>1362447059</v>
      </c>
      <c r="B615" t="s">
        <v>1281</v>
      </c>
      <c r="C615" t="str">
        <f>"17848472527182069"</f>
        <v>17848472527182069</v>
      </c>
      <c r="D615" t="s">
        <v>1282</v>
      </c>
      <c r="E615" t="s">
        <v>1283</v>
      </c>
      <c r="F615" t="s">
        <v>1284</v>
      </c>
      <c r="G615" t="s">
        <v>1285</v>
      </c>
    </row>
    <row r="616" spans="1:7" x14ac:dyDescent="0.25">
      <c r="A616">
        <v>19065020</v>
      </c>
      <c r="B616" t="s">
        <v>1286</v>
      </c>
      <c r="C616" t="str">
        <f>"17860948417099398"</f>
        <v>17860948417099398</v>
      </c>
      <c r="D616" t="s">
        <v>1287</v>
      </c>
      <c r="E616" t="s">
        <v>1288</v>
      </c>
      <c r="F616" t="s">
        <v>1289</v>
      </c>
      <c r="G616" t="s">
        <v>1290</v>
      </c>
    </row>
    <row r="617" spans="1:7" x14ac:dyDescent="0.25">
      <c r="A617">
        <v>1789184864</v>
      </c>
      <c r="B617" t="s">
        <v>1291</v>
      </c>
      <c r="C617" t="str">
        <f>"17850981937133489"</f>
        <v>17850981937133489</v>
      </c>
      <c r="D617" t="s">
        <v>542</v>
      </c>
      <c r="E617" t="s">
        <v>1292</v>
      </c>
      <c r="F617" t="s">
        <v>1293</v>
      </c>
      <c r="G617" t="s">
        <v>1294</v>
      </c>
    </row>
    <row r="618" spans="1:7" x14ac:dyDescent="0.25">
      <c r="A618">
        <v>1572228443</v>
      </c>
      <c r="B618" t="s">
        <v>1295</v>
      </c>
      <c r="C618" t="str">
        <f>"17849188708183696"</f>
        <v>17849188708183696</v>
      </c>
      <c r="D618" t="s">
        <v>1296</v>
      </c>
      <c r="E618" t="s">
        <v>1297</v>
      </c>
      <c r="F618" t="s">
        <v>1298</v>
      </c>
      <c r="G618" t="s">
        <v>1299</v>
      </c>
    </row>
    <row r="619" spans="1:7" x14ac:dyDescent="0.25">
      <c r="A619">
        <v>2281869589</v>
      </c>
      <c r="B619" t="s">
        <v>1300</v>
      </c>
      <c r="C619" t="str">
        <f>"17871660631060674"</f>
        <v>17871660631060674</v>
      </c>
      <c r="D619" t="s">
        <v>1301</v>
      </c>
      <c r="E619" t="s">
        <v>1302</v>
      </c>
      <c r="F619" t="s">
        <v>1303</v>
      </c>
      <c r="G619" t="s">
        <v>1304</v>
      </c>
    </row>
    <row r="620" spans="1:7" x14ac:dyDescent="0.25">
      <c r="A620">
        <v>3500055109</v>
      </c>
      <c r="B620" t="s">
        <v>1305</v>
      </c>
      <c r="C620" t="str">
        <f>"17849474554177694"</f>
        <v>17849474554177694</v>
      </c>
      <c r="D620" t="s">
        <v>1306</v>
      </c>
      <c r="E620" t="s">
        <v>1307</v>
      </c>
      <c r="F620" t="s">
        <v>1308</v>
      </c>
      <c r="G620" t="s">
        <v>1309</v>
      </c>
    </row>
    <row r="621" spans="1:7" x14ac:dyDescent="0.25">
      <c r="A621">
        <v>1800059384</v>
      </c>
      <c r="B621" t="s">
        <v>1310</v>
      </c>
      <c r="C621" t="str">
        <f>"17872512130044138"</f>
        <v>17872512130044138</v>
      </c>
      <c r="D621" t="s">
        <v>152</v>
      </c>
      <c r="E621" t="s">
        <v>1311</v>
      </c>
      <c r="F621" t="s">
        <v>1312</v>
      </c>
      <c r="G621" t="s">
        <v>1313</v>
      </c>
    </row>
    <row r="622" spans="1:7" x14ac:dyDescent="0.25">
      <c r="A622">
        <v>1572228443</v>
      </c>
      <c r="B622" t="s">
        <v>1295</v>
      </c>
      <c r="C622" t="str">
        <f>"17849188708183696"</f>
        <v>17849188708183696</v>
      </c>
      <c r="D622" t="s">
        <v>1296</v>
      </c>
      <c r="E622" t="s">
        <v>1297</v>
      </c>
      <c r="F622" t="s">
        <v>1298</v>
      </c>
      <c r="G622" t="s">
        <v>1299</v>
      </c>
    </row>
    <row r="623" spans="1:7" x14ac:dyDescent="0.25">
      <c r="A623">
        <v>2281869589</v>
      </c>
      <c r="B623" t="s">
        <v>1300</v>
      </c>
      <c r="C623" t="str">
        <f>"17871660631060674"</f>
        <v>17871660631060674</v>
      </c>
      <c r="D623" t="s">
        <v>1301</v>
      </c>
      <c r="E623" t="s">
        <v>1302</v>
      </c>
      <c r="F623" t="s">
        <v>1303</v>
      </c>
      <c r="G623" t="s">
        <v>1304</v>
      </c>
    </row>
    <row r="624" spans="1:7" x14ac:dyDescent="0.25">
      <c r="A624">
        <v>3500055109</v>
      </c>
      <c r="B624" t="s">
        <v>1305</v>
      </c>
      <c r="C624" t="str">
        <f>"17849474554177694"</f>
        <v>17849474554177694</v>
      </c>
      <c r="D624" t="s">
        <v>1306</v>
      </c>
      <c r="E624" t="s">
        <v>1307</v>
      </c>
      <c r="F624" t="s">
        <v>1308</v>
      </c>
      <c r="G624" t="s">
        <v>1309</v>
      </c>
    </row>
    <row r="625" spans="1:7" x14ac:dyDescent="0.25">
      <c r="A625">
        <v>1800059384</v>
      </c>
      <c r="B625" t="s">
        <v>1310</v>
      </c>
      <c r="C625" t="str">
        <f>"17872512130044138"</f>
        <v>17872512130044138</v>
      </c>
      <c r="D625" t="s">
        <v>152</v>
      </c>
      <c r="E625" t="s">
        <v>1311</v>
      </c>
      <c r="F625" t="s">
        <v>1312</v>
      </c>
      <c r="G625" t="s">
        <v>1313</v>
      </c>
    </row>
    <row r="626" spans="1:7" x14ac:dyDescent="0.25">
      <c r="A626">
        <v>5815526837</v>
      </c>
      <c r="B626" t="s">
        <v>1314</v>
      </c>
      <c r="C626" t="str">
        <f>"17924852734245589"</f>
        <v>17924852734245589</v>
      </c>
      <c r="D626" t="s">
        <v>1315</v>
      </c>
      <c r="E626" t="s">
        <v>1316</v>
      </c>
      <c r="F626" t="s">
        <v>1317</v>
      </c>
      <c r="G626" t="s">
        <v>1318</v>
      </c>
    </row>
    <row r="627" spans="1:7" x14ac:dyDescent="0.25">
      <c r="A627">
        <v>5815526837</v>
      </c>
      <c r="B627" t="s">
        <v>1314</v>
      </c>
      <c r="C627" t="str">
        <f>"17924852734245589"</f>
        <v>17924852734245589</v>
      </c>
      <c r="D627" t="s">
        <v>1315</v>
      </c>
      <c r="E627" t="s">
        <v>1316</v>
      </c>
      <c r="F627" t="s">
        <v>1317</v>
      </c>
      <c r="G627" t="s">
        <v>1318</v>
      </c>
    </row>
    <row r="628" spans="1:7" x14ac:dyDescent="0.25">
      <c r="A628">
        <v>3061466549</v>
      </c>
      <c r="B628" t="s">
        <v>1319</v>
      </c>
      <c r="C628" t="str">
        <f>"17860288807092633"</f>
        <v>17860288807092633</v>
      </c>
      <c r="D628" t="s">
        <v>1320</v>
      </c>
      <c r="E628" t="s">
        <v>1321</v>
      </c>
      <c r="F628" t="s">
        <v>1322</v>
      </c>
      <c r="G628" t="s">
        <v>1323</v>
      </c>
    </row>
    <row r="629" spans="1:7" x14ac:dyDescent="0.25">
      <c r="A629">
        <v>5472891</v>
      </c>
      <c r="B629" t="s">
        <v>1324</v>
      </c>
      <c r="C629" t="str">
        <f>"17872741606032240"</f>
        <v>17872741606032240</v>
      </c>
      <c r="D629" t="s">
        <v>1325</v>
      </c>
      <c r="E629" t="s">
        <v>1326</v>
      </c>
      <c r="F629" t="s">
        <v>1327</v>
      </c>
      <c r="G629" t="s">
        <v>1328</v>
      </c>
    </row>
    <row r="630" spans="1:7" x14ac:dyDescent="0.25">
      <c r="A630">
        <v>3284233296</v>
      </c>
      <c r="B630" t="s">
        <v>1329</v>
      </c>
      <c r="C630" t="str">
        <f>"17850726022147420"</f>
        <v>17850726022147420</v>
      </c>
      <c r="D630" t="s">
        <v>1330</v>
      </c>
      <c r="E630" t="s">
        <v>1331</v>
      </c>
      <c r="F630" t="s">
        <v>1332</v>
      </c>
      <c r="G630" t="s">
        <v>1333</v>
      </c>
    </row>
    <row r="631" spans="1:7" x14ac:dyDescent="0.25">
      <c r="A631">
        <v>1131458179</v>
      </c>
      <c r="B631" t="s">
        <v>1334</v>
      </c>
      <c r="C631" t="str">
        <f>"17850680092151620"</f>
        <v>17850680092151620</v>
      </c>
      <c r="D631" t="s">
        <v>1335</v>
      </c>
      <c r="E631" t="s">
        <v>1336</v>
      </c>
      <c r="F631" t="s">
        <v>1337</v>
      </c>
      <c r="G631" t="s">
        <v>1338</v>
      </c>
    </row>
    <row r="632" spans="1:7" x14ac:dyDescent="0.25">
      <c r="A632">
        <v>3061466549</v>
      </c>
      <c r="B632" t="s">
        <v>1319</v>
      </c>
      <c r="C632" t="str">
        <f>"17860288807092633"</f>
        <v>17860288807092633</v>
      </c>
      <c r="D632" t="s">
        <v>1320</v>
      </c>
      <c r="E632" t="s">
        <v>1321</v>
      </c>
      <c r="F632" t="s">
        <v>1322</v>
      </c>
      <c r="G632" t="s">
        <v>1323</v>
      </c>
    </row>
    <row r="633" spans="1:7" x14ac:dyDescent="0.25">
      <c r="A633">
        <v>5472891</v>
      </c>
      <c r="B633" t="s">
        <v>1324</v>
      </c>
      <c r="C633" t="str">
        <f>"17872741606032240"</f>
        <v>17872741606032240</v>
      </c>
      <c r="D633" t="s">
        <v>1325</v>
      </c>
      <c r="E633" t="s">
        <v>1326</v>
      </c>
      <c r="F633" t="s">
        <v>1327</v>
      </c>
      <c r="G633" t="s">
        <v>1328</v>
      </c>
    </row>
    <row r="634" spans="1:7" x14ac:dyDescent="0.25">
      <c r="A634">
        <v>3284233296</v>
      </c>
      <c r="B634" t="s">
        <v>1329</v>
      </c>
      <c r="C634" t="str">
        <f>"17850726022147420"</f>
        <v>17850726022147420</v>
      </c>
      <c r="D634" t="s">
        <v>1330</v>
      </c>
      <c r="E634" t="s">
        <v>1331</v>
      </c>
      <c r="F634" t="s">
        <v>1332</v>
      </c>
      <c r="G634" t="s">
        <v>1333</v>
      </c>
    </row>
    <row r="635" spans="1:7" x14ac:dyDescent="0.25">
      <c r="A635">
        <v>1131458179</v>
      </c>
      <c r="B635" t="s">
        <v>1334</v>
      </c>
      <c r="C635" t="str">
        <f>"17850680092151620"</f>
        <v>17850680092151620</v>
      </c>
      <c r="D635" t="s">
        <v>1335</v>
      </c>
      <c r="E635" t="s">
        <v>1336</v>
      </c>
      <c r="F635" t="s">
        <v>1337</v>
      </c>
      <c r="G635" t="s">
        <v>1338</v>
      </c>
    </row>
    <row r="636" spans="1:7" x14ac:dyDescent="0.25">
      <c r="A636">
        <v>3061466549</v>
      </c>
      <c r="B636" t="s">
        <v>1319</v>
      </c>
      <c r="C636" t="str">
        <f>"17860288807092633"</f>
        <v>17860288807092633</v>
      </c>
      <c r="D636" t="s">
        <v>1320</v>
      </c>
      <c r="E636" t="s">
        <v>1321</v>
      </c>
      <c r="F636" t="s">
        <v>1322</v>
      </c>
      <c r="G636" t="s">
        <v>1323</v>
      </c>
    </row>
    <row r="637" spans="1:7" x14ac:dyDescent="0.25">
      <c r="A637">
        <v>5472891</v>
      </c>
      <c r="B637" t="s">
        <v>1324</v>
      </c>
      <c r="C637" t="str">
        <f>"17872741606032240"</f>
        <v>17872741606032240</v>
      </c>
      <c r="D637" t="s">
        <v>1325</v>
      </c>
      <c r="E637" t="s">
        <v>1326</v>
      </c>
      <c r="F637" t="s">
        <v>1327</v>
      </c>
      <c r="G637" t="s">
        <v>1328</v>
      </c>
    </row>
    <row r="638" spans="1:7" x14ac:dyDescent="0.25">
      <c r="A638">
        <v>3284233296</v>
      </c>
      <c r="B638" t="s">
        <v>1329</v>
      </c>
      <c r="C638" t="str">
        <f>"17850726022147420"</f>
        <v>17850726022147420</v>
      </c>
      <c r="D638" t="s">
        <v>1330</v>
      </c>
      <c r="E638" t="s">
        <v>1331</v>
      </c>
      <c r="F638" t="s">
        <v>1332</v>
      </c>
      <c r="G638" t="s">
        <v>1333</v>
      </c>
    </row>
    <row r="639" spans="1:7" x14ac:dyDescent="0.25">
      <c r="A639">
        <v>1131458179</v>
      </c>
      <c r="B639" t="s">
        <v>1334</v>
      </c>
      <c r="C639" t="str">
        <f>"17850680092151620"</f>
        <v>17850680092151620</v>
      </c>
      <c r="D639" t="s">
        <v>1335</v>
      </c>
      <c r="E639" t="s">
        <v>1336</v>
      </c>
      <c r="F639" t="s">
        <v>1337</v>
      </c>
      <c r="G639" t="s">
        <v>1338</v>
      </c>
    </row>
    <row r="640" spans="1:7" x14ac:dyDescent="0.25">
      <c r="A640">
        <v>1331919399</v>
      </c>
      <c r="B640" t="s">
        <v>1339</v>
      </c>
      <c r="C640" t="str">
        <f>"17864351629103211"</f>
        <v>17864351629103211</v>
      </c>
      <c r="D640" t="s">
        <v>1340</v>
      </c>
      <c r="E640" t="s">
        <v>1341</v>
      </c>
      <c r="F640" t="s">
        <v>1342</v>
      </c>
      <c r="G640" t="s">
        <v>1343</v>
      </c>
    </row>
    <row r="641" spans="1:7" x14ac:dyDescent="0.25">
      <c r="A641">
        <v>1331919399</v>
      </c>
      <c r="B641" t="s">
        <v>1339</v>
      </c>
      <c r="C641" t="str">
        <f>"17864351629103211"</f>
        <v>17864351629103211</v>
      </c>
      <c r="D641" t="s">
        <v>1340</v>
      </c>
      <c r="E641" t="s">
        <v>1341</v>
      </c>
      <c r="F641" t="s">
        <v>1342</v>
      </c>
      <c r="G641" t="s">
        <v>1343</v>
      </c>
    </row>
    <row r="642" spans="1:7" x14ac:dyDescent="0.25">
      <c r="A642">
        <v>1439221811</v>
      </c>
      <c r="B642" t="s">
        <v>1344</v>
      </c>
      <c r="C642" t="str">
        <f>"17875359046013928"</f>
        <v>17875359046013928</v>
      </c>
      <c r="D642" t="s">
        <v>1345</v>
      </c>
      <c r="E642" t="s">
        <v>1346</v>
      </c>
      <c r="F642" t="s">
        <v>1347</v>
      </c>
      <c r="G642" t="s">
        <v>1348</v>
      </c>
    </row>
    <row r="643" spans="1:7" x14ac:dyDescent="0.25">
      <c r="A643">
        <v>1439221811</v>
      </c>
      <c r="B643" t="s">
        <v>1344</v>
      </c>
      <c r="C643" t="str">
        <f>"17875359046013928"</f>
        <v>17875359046013928</v>
      </c>
      <c r="D643" t="s">
        <v>1345</v>
      </c>
      <c r="E643" t="s">
        <v>1346</v>
      </c>
      <c r="F643" t="s">
        <v>1347</v>
      </c>
      <c r="G643" t="s">
        <v>1349</v>
      </c>
    </row>
    <row r="644" spans="1:7" x14ac:dyDescent="0.25">
      <c r="A644">
        <v>1439221811</v>
      </c>
      <c r="B644" t="s">
        <v>1344</v>
      </c>
      <c r="C644" t="str">
        <f>"17875359046013928"</f>
        <v>17875359046013928</v>
      </c>
      <c r="D644" t="s">
        <v>1345</v>
      </c>
      <c r="E644" t="s">
        <v>1346</v>
      </c>
      <c r="F644" t="s">
        <v>1347</v>
      </c>
      <c r="G644" t="s">
        <v>1348</v>
      </c>
    </row>
    <row r="645" spans="1:7" x14ac:dyDescent="0.25">
      <c r="A645">
        <v>4179672065</v>
      </c>
      <c r="B645" t="s">
        <v>1350</v>
      </c>
      <c r="C645" t="str">
        <f>"17864367688099479"</f>
        <v>17864367688099479</v>
      </c>
      <c r="D645" t="s">
        <v>508</v>
      </c>
      <c r="E645" t="s">
        <v>1351</v>
      </c>
      <c r="F645" t="s">
        <v>1352</v>
      </c>
      <c r="G645" t="s">
        <v>1353</v>
      </c>
    </row>
    <row r="646" spans="1:7" x14ac:dyDescent="0.25">
      <c r="A646">
        <v>3615108094</v>
      </c>
      <c r="B646" t="s">
        <v>1354</v>
      </c>
      <c r="C646" t="str">
        <f>"17864350273114333"</f>
        <v>17864350273114333</v>
      </c>
      <c r="D646" t="s">
        <v>1355</v>
      </c>
      <c r="E646" t="s">
        <v>1356</v>
      </c>
      <c r="F646" t="s">
        <v>1357</v>
      </c>
      <c r="G646" t="s">
        <v>1358</v>
      </c>
    </row>
    <row r="647" spans="1:7" x14ac:dyDescent="0.25">
      <c r="A647">
        <v>12732882</v>
      </c>
      <c r="B647" t="s">
        <v>167</v>
      </c>
      <c r="C647" t="str">
        <f>"17850404323171361"</f>
        <v>17850404323171361</v>
      </c>
      <c r="D647" t="s">
        <v>1359</v>
      </c>
      <c r="E647" t="s">
        <v>1360</v>
      </c>
      <c r="F647" t="s">
        <v>170</v>
      </c>
      <c r="G647" t="s">
        <v>1361</v>
      </c>
    </row>
    <row r="648" spans="1:7" x14ac:dyDescent="0.25">
      <c r="A648">
        <v>12732882</v>
      </c>
      <c r="B648" t="s">
        <v>167</v>
      </c>
      <c r="C648" t="str">
        <f>"17850404323171361"</f>
        <v>17850404323171361</v>
      </c>
      <c r="D648" t="s">
        <v>1359</v>
      </c>
      <c r="E648" t="s">
        <v>1360</v>
      </c>
      <c r="F648" t="s">
        <v>170</v>
      </c>
      <c r="G648" t="s">
        <v>1361</v>
      </c>
    </row>
    <row r="649" spans="1:7" x14ac:dyDescent="0.25">
      <c r="A649">
        <v>12732882</v>
      </c>
      <c r="B649" t="s">
        <v>167</v>
      </c>
      <c r="C649" t="str">
        <f>"17850404323171361"</f>
        <v>17850404323171361</v>
      </c>
      <c r="D649" t="s">
        <v>1359</v>
      </c>
      <c r="E649" t="s">
        <v>1360</v>
      </c>
      <c r="F649" t="s">
        <v>170</v>
      </c>
      <c r="G649" t="s">
        <v>1361</v>
      </c>
    </row>
    <row r="650" spans="1:7" x14ac:dyDescent="0.25">
      <c r="A650">
        <v>8907477458</v>
      </c>
      <c r="B650" t="s">
        <v>1362</v>
      </c>
      <c r="C650" t="str">
        <f>"18186081814321136"</f>
        <v>18186081814321136</v>
      </c>
      <c r="D650" t="s">
        <v>1363</v>
      </c>
      <c r="E650" t="s">
        <v>1364</v>
      </c>
      <c r="F650" t="s">
        <v>1365</v>
      </c>
      <c r="G650" t="s">
        <v>1366</v>
      </c>
    </row>
    <row r="651" spans="1:7" x14ac:dyDescent="0.25">
      <c r="A651">
        <v>8907477458</v>
      </c>
      <c r="B651" t="s">
        <v>1362</v>
      </c>
      <c r="C651" t="str">
        <f>"18186081814321136"</f>
        <v>18186081814321136</v>
      </c>
      <c r="D651" t="s">
        <v>1363</v>
      </c>
      <c r="E651" t="s">
        <v>1364</v>
      </c>
      <c r="F651" t="s">
        <v>1365</v>
      </c>
      <c r="G651" t="s">
        <v>1366</v>
      </c>
    </row>
    <row r="652" spans="1:7" x14ac:dyDescent="0.25">
      <c r="A652">
        <v>223415450</v>
      </c>
      <c r="B652" t="s">
        <v>1367</v>
      </c>
      <c r="C652" t="str">
        <f>"17866278112079865"</f>
        <v>17866278112079865</v>
      </c>
      <c r="D652" t="s">
        <v>1368</v>
      </c>
      <c r="E652" t="s">
        <v>1369</v>
      </c>
      <c r="F652" t="s">
        <v>1370</v>
      </c>
      <c r="G652" t="s">
        <v>1371</v>
      </c>
    </row>
    <row r="653" spans="1:7" x14ac:dyDescent="0.25">
      <c r="A653">
        <v>271721102</v>
      </c>
      <c r="B653" t="s">
        <v>1372</v>
      </c>
      <c r="C653" t="str">
        <f>"17863931755110600"</f>
        <v>17863931755110600</v>
      </c>
      <c r="D653" t="s">
        <v>1373</v>
      </c>
      <c r="E653" t="s">
        <v>1374</v>
      </c>
      <c r="F653" t="s">
        <v>1375</v>
      </c>
      <c r="G653" t="s">
        <v>1376</v>
      </c>
    </row>
    <row r="654" spans="1:7" x14ac:dyDescent="0.25">
      <c r="A654">
        <v>1479191776</v>
      </c>
      <c r="B654" t="s">
        <v>1377</v>
      </c>
      <c r="C654" t="str">
        <f>"17851505773183861"</f>
        <v>17851505773183861</v>
      </c>
      <c r="D654" t="s">
        <v>1378</v>
      </c>
      <c r="E654" t="s">
        <v>1379</v>
      </c>
      <c r="F654" t="s">
        <v>1380</v>
      </c>
      <c r="G654" t="s">
        <v>1381</v>
      </c>
    </row>
    <row r="655" spans="1:7" x14ac:dyDescent="0.25">
      <c r="A655">
        <v>223415450</v>
      </c>
      <c r="B655" t="s">
        <v>1367</v>
      </c>
      <c r="C655" t="str">
        <f>"17866278112079865"</f>
        <v>17866278112079865</v>
      </c>
      <c r="D655" t="s">
        <v>1368</v>
      </c>
      <c r="E655" t="s">
        <v>1369</v>
      </c>
      <c r="F655" t="s">
        <v>1370</v>
      </c>
      <c r="G655" t="s">
        <v>1371</v>
      </c>
    </row>
    <row r="656" spans="1:7" x14ac:dyDescent="0.25">
      <c r="A656">
        <v>271721102</v>
      </c>
      <c r="B656" t="s">
        <v>1372</v>
      </c>
      <c r="C656" t="str">
        <f>"17863931755110600"</f>
        <v>17863931755110600</v>
      </c>
      <c r="D656" t="s">
        <v>1373</v>
      </c>
      <c r="E656" t="s">
        <v>1374</v>
      </c>
      <c r="F656" t="s">
        <v>1375</v>
      </c>
      <c r="G656" t="s">
        <v>1376</v>
      </c>
    </row>
    <row r="657" spans="1:7" x14ac:dyDescent="0.25">
      <c r="A657">
        <v>1479191776</v>
      </c>
      <c r="B657" t="s">
        <v>1377</v>
      </c>
      <c r="C657" t="str">
        <f>"17851505773183861"</f>
        <v>17851505773183861</v>
      </c>
      <c r="D657" t="s">
        <v>1378</v>
      </c>
      <c r="E657" t="s">
        <v>1379</v>
      </c>
      <c r="F657" t="s">
        <v>1380</v>
      </c>
      <c r="G657" t="s">
        <v>1381</v>
      </c>
    </row>
    <row r="658" spans="1:7" x14ac:dyDescent="0.25">
      <c r="A658">
        <v>2495536479</v>
      </c>
      <c r="B658" t="s">
        <v>1382</v>
      </c>
      <c r="C658" t="str">
        <f>"17873887138034721"</f>
        <v>17873887138034721</v>
      </c>
      <c r="D658" t="s">
        <v>1383</v>
      </c>
      <c r="E658" t="s">
        <v>1384</v>
      </c>
      <c r="F658" t="s">
        <v>1385</v>
      </c>
      <c r="G658" t="s">
        <v>1386</v>
      </c>
    </row>
    <row r="659" spans="1:7" x14ac:dyDescent="0.25">
      <c r="A659">
        <v>36187636</v>
      </c>
      <c r="B659" t="s">
        <v>1387</v>
      </c>
      <c r="C659" t="str">
        <f>"17868260017071523"</f>
        <v>17868260017071523</v>
      </c>
      <c r="D659" t="s">
        <v>1388</v>
      </c>
      <c r="E659" t="s">
        <v>1389</v>
      </c>
      <c r="F659" t="s">
        <v>1390</v>
      </c>
      <c r="G659" t="s">
        <v>1391</v>
      </c>
    </row>
    <row r="660" spans="1:7" x14ac:dyDescent="0.25">
      <c r="A660">
        <v>1961036000</v>
      </c>
      <c r="B660" t="s">
        <v>1392</v>
      </c>
      <c r="C660" t="str">
        <f>"17876158393047225"</f>
        <v>17876158393047225</v>
      </c>
      <c r="D660" t="s">
        <v>1393</v>
      </c>
      <c r="E660" t="s">
        <v>1394</v>
      </c>
      <c r="F660" t="s">
        <v>1395</v>
      </c>
      <c r="G660" t="s">
        <v>1396</v>
      </c>
    </row>
    <row r="661" spans="1:7" x14ac:dyDescent="0.25">
      <c r="A661">
        <v>1961036000</v>
      </c>
      <c r="B661" t="s">
        <v>1392</v>
      </c>
      <c r="C661" t="str">
        <f>"17876158393047225"</f>
        <v>17876158393047225</v>
      </c>
      <c r="D661" t="s">
        <v>1393</v>
      </c>
      <c r="E661" t="s">
        <v>1394</v>
      </c>
      <c r="F661" t="s">
        <v>1395</v>
      </c>
      <c r="G661" t="s">
        <v>1397</v>
      </c>
    </row>
    <row r="662" spans="1:7" x14ac:dyDescent="0.25">
      <c r="A662">
        <v>4220334902</v>
      </c>
      <c r="B662" t="s">
        <v>1398</v>
      </c>
      <c r="C662" t="str">
        <f>"17870585086069276"</f>
        <v>17870585086069276</v>
      </c>
      <c r="D662" t="s">
        <v>1399</v>
      </c>
      <c r="E662" t="s">
        <v>1400</v>
      </c>
      <c r="F662" t="s">
        <v>1401</v>
      </c>
      <c r="G662" t="s">
        <v>1402</v>
      </c>
    </row>
    <row r="663" spans="1:7" x14ac:dyDescent="0.25">
      <c r="A663">
        <v>372347519</v>
      </c>
      <c r="B663" t="s">
        <v>1403</v>
      </c>
      <c r="C663" t="str">
        <f>"17851935262192803"</f>
        <v>17851935262192803</v>
      </c>
      <c r="D663" t="s">
        <v>1404</v>
      </c>
      <c r="E663" t="s">
        <v>1405</v>
      </c>
      <c r="F663" t="s">
        <v>1406</v>
      </c>
      <c r="G663" t="s">
        <v>1407</v>
      </c>
    </row>
    <row r="664" spans="1:7" x14ac:dyDescent="0.25">
      <c r="A664">
        <v>599993707</v>
      </c>
      <c r="B664" t="s">
        <v>1408</v>
      </c>
      <c r="C664" t="str">
        <f>"17864921008096628"</f>
        <v>17864921008096628</v>
      </c>
      <c r="D664" t="s">
        <v>1409</v>
      </c>
      <c r="E664" t="s">
        <v>1410</v>
      </c>
      <c r="F664" t="s">
        <v>1411</v>
      </c>
      <c r="G664" t="s">
        <v>1412</v>
      </c>
    </row>
    <row r="665" spans="1:7" x14ac:dyDescent="0.25">
      <c r="A665">
        <v>4220334902</v>
      </c>
      <c r="B665" t="s">
        <v>1398</v>
      </c>
      <c r="C665" t="str">
        <f>"17870585086069276"</f>
        <v>17870585086069276</v>
      </c>
      <c r="D665" t="s">
        <v>1399</v>
      </c>
      <c r="E665" t="s">
        <v>1400</v>
      </c>
      <c r="F665" t="s">
        <v>1401</v>
      </c>
      <c r="G665" t="s">
        <v>1402</v>
      </c>
    </row>
    <row r="666" spans="1:7" x14ac:dyDescent="0.25">
      <c r="A666">
        <v>372347519</v>
      </c>
      <c r="B666" t="s">
        <v>1403</v>
      </c>
      <c r="C666" t="str">
        <f>"17851935262192803"</f>
        <v>17851935262192803</v>
      </c>
      <c r="D666" t="s">
        <v>1404</v>
      </c>
      <c r="E666" t="s">
        <v>1405</v>
      </c>
      <c r="F666" t="s">
        <v>1406</v>
      </c>
      <c r="G666" t="s">
        <v>1407</v>
      </c>
    </row>
    <row r="667" spans="1:7" x14ac:dyDescent="0.25">
      <c r="A667">
        <v>599993707</v>
      </c>
      <c r="B667" t="s">
        <v>1408</v>
      </c>
      <c r="C667" t="str">
        <f>"17864921008096628"</f>
        <v>17864921008096628</v>
      </c>
      <c r="D667" t="s">
        <v>1409</v>
      </c>
      <c r="E667" t="s">
        <v>1410</v>
      </c>
      <c r="F667" t="s">
        <v>1411</v>
      </c>
      <c r="G667" t="s">
        <v>1412</v>
      </c>
    </row>
    <row r="668" spans="1:7" x14ac:dyDescent="0.25">
      <c r="A668">
        <v>586781189</v>
      </c>
      <c r="B668" t="s">
        <v>1413</v>
      </c>
      <c r="C668" t="str">
        <f>"17877477382041832"</f>
        <v>17877477382041832</v>
      </c>
      <c r="D668" t="s">
        <v>1414</v>
      </c>
      <c r="E668" t="s">
        <v>1415</v>
      </c>
      <c r="F668" t="s">
        <v>1416</v>
      </c>
      <c r="G668" t="s">
        <v>1417</v>
      </c>
    </row>
    <row r="669" spans="1:7" x14ac:dyDescent="0.25">
      <c r="A669">
        <v>3310744796</v>
      </c>
      <c r="B669" t="s">
        <v>1418</v>
      </c>
      <c r="C669" t="str">
        <f>"17870660677066815"</f>
        <v>17870660677066815</v>
      </c>
      <c r="D669" t="s">
        <v>1419</v>
      </c>
      <c r="E669" t="s">
        <v>1420</v>
      </c>
      <c r="F669" t="s">
        <v>1421</v>
      </c>
      <c r="G669" t="s">
        <v>1422</v>
      </c>
    </row>
    <row r="670" spans="1:7" x14ac:dyDescent="0.25">
      <c r="A670">
        <v>1527584739</v>
      </c>
      <c r="B670" t="s">
        <v>1423</v>
      </c>
      <c r="C670" t="str">
        <f>"17877677821014122"</f>
        <v>17877677821014122</v>
      </c>
      <c r="D670" t="s">
        <v>406</v>
      </c>
      <c r="E670" t="s">
        <v>1424</v>
      </c>
      <c r="F670" t="s">
        <v>1425</v>
      </c>
      <c r="G670" t="s">
        <v>1426</v>
      </c>
    </row>
    <row r="671" spans="1:7" x14ac:dyDescent="0.25">
      <c r="A671">
        <v>586781189</v>
      </c>
      <c r="B671" t="s">
        <v>1413</v>
      </c>
      <c r="C671" t="str">
        <f>"17877477382041832"</f>
        <v>17877477382041832</v>
      </c>
      <c r="D671" t="s">
        <v>1414</v>
      </c>
      <c r="E671" t="s">
        <v>1415</v>
      </c>
      <c r="F671" t="s">
        <v>1416</v>
      </c>
      <c r="G671" t="s">
        <v>1427</v>
      </c>
    </row>
    <row r="672" spans="1:7" x14ac:dyDescent="0.25">
      <c r="A672">
        <v>3310744796</v>
      </c>
      <c r="B672" t="s">
        <v>1418</v>
      </c>
      <c r="C672" t="str">
        <f>"17870660677066815"</f>
        <v>17870660677066815</v>
      </c>
      <c r="D672" t="s">
        <v>1419</v>
      </c>
      <c r="E672" t="s">
        <v>1420</v>
      </c>
      <c r="F672" t="s">
        <v>1421</v>
      </c>
      <c r="G672" t="s">
        <v>1428</v>
      </c>
    </row>
    <row r="673" spans="1:7" x14ac:dyDescent="0.25">
      <c r="A673">
        <v>1527584739</v>
      </c>
      <c r="B673" t="s">
        <v>1423</v>
      </c>
      <c r="C673" t="str">
        <f>"17877677821014122"</f>
        <v>17877677821014122</v>
      </c>
      <c r="D673" t="s">
        <v>406</v>
      </c>
      <c r="E673" t="s">
        <v>1424</v>
      </c>
      <c r="F673" t="s">
        <v>1425</v>
      </c>
      <c r="G673" t="s">
        <v>1429</v>
      </c>
    </row>
    <row r="674" spans="1:7" x14ac:dyDescent="0.25">
      <c r="A674">
        <v>586781189</v>
      </c>
      <c r="B674" t="s">
        <v>1413</v>
      </c>
      <c r="C674" t="str">
        <f>"17877477382041832"</f>
        <v>17877477382041832</v>
      </c>
      <c r="D674" t="s">
        <v>1414</v>
      </c>
      <c r="E674" t="s">
        <v>1415</v>
      </c>
      <c r="F674" t="s">
        <v>1416</v>
      </c>
      <c r="G674" t="s">
        <v>1430</v>
      </c>
    </row>
    <row r="675" spans="1:7" x14ac:dyDescent="0.25">
      <c r="A675">
        <v>3310744796</v>
      </c>
      <c r="B675" t="s">
        <v>1418</v>
      </c>
      <c r="C675" t="str">
        <f>"17870660677066815"</f>
        <v>17870660677066815</v>
      </c>
      <c r="D675" t="s">
        <v>1419</v>
      </c>
      <c r="E675" t="s">
        <v>1420</v>
      </c>
      <c r="F675" t="s">
        <v>1421</v>
      </c>
      <c r="G675" t="s">
        <v>1431</v>
      </c>
    </row>
    <row r="676" spans="1:7" x14ac:dyDescent="0.25">
      <c r="A676">
        <v>1527584739</v>
      </c>
      <c r="B676" t="s">
        <v>1423</v>
      </c>
      <c r="C676" t="str">
        <f>"17877677821014122"</f>
        <v>17877677821014122</v>
      </c>
      <c r="D676" t="s">
        <v>406</v>
      </c>
      <c r="E676" t="s">
        <v>1424</v>
      </c>
      <c r="F676" t="s">
        <v>1425</v>
      </c>
      <c r="G676" t="s">
        <v>1432</v>
      </c>
    </row>
    <row r="677" spans="1:7" x14ac:dyDescent="0.25">
      <c r="A677">
        <v>2125639293</v>
      </c>
      <c r="B677" t="s">
        <v>1433</v>
      </c>
      <c r="C677" t="str">
        <f>"17853418147149286"</f>
        <v>17853418147149286</v>
      </c>
      <c r="D677" t="s">
        <v>1434</v>
      </c>
      <c r="E677" t="s">
        <v>1435</v>
      </c>
      <c r="F677" t="s">
        <v>1436</v>
      </c>
      <c r="G677" t="s">
        <v>1437</v>
      </c>
    </row>
    <row r="678" spans="1:7" x14ac:dyDescent="0.25">
      <c r="A678">
        <v>2125639293</v>
      </c>
      <c r="B678" t="s">
        <v>1433</v>
      </c>
      <c r="C678" t="str">
        <f>"17853418147149286"</f>
        <v>17853418147149286</v>
      </c>
      <c r="D678" t="s">
        <v>1434</v>
      </c>
      <c r="E678" t="s">
        <v>1435</v>
      </c>
      <c r="F678" t="s">
        <v>1436</v>
      </c>
      <c r="G678" t="s">
        <v>1437</v>
      </c>
    </row>
    <row r="679" spans="1:7" x14ac:dyDescent="0.25">
      <c r="A679">
        <v>1571924895</v>
      </c>
      <c r="B679" t="s">
        <v>1438</v>
      </c>
      <c r="C679" t="str">
        <f>"17853546124147202"</f>
        <v>17853546124147202</v>
      </c>
      <c r="D679" t="s">
        <v>1439</v>
      </c>
      <c r="E679" t="s">
        <v>1440</v>
      </c>
      <c r="F679" t="s">
        <v>1441</v>
      </c>
      <c r="G679" t="s">
        <v>1442</v>
      </c>
    </row>
    <row r="680" spans="1:7" x14ac:dyDescent="0.25">
      <c r="A680">
        <v>4002081492</v>
      </c>
      <c r="B680" t="s">
        <v>1443</v>
      </c>
      <c r="C680" t="str">
        <f>"17852341132179206"</f>
        <v>17852341132179206</v>
      </c>
      <c r="D680" t="s">
        <v>23</v>
      </c>
      <c r="E680" t="s">
        <v>1444</v>
      </c>
      <c r="F680" t="s">
        <v>1445</v>
      </c>
      <c r="G680" t="s">
        <v>1446</v>
      </c>
    </row>
    <row r="681" spans="1:7" x14ac:dyDescent="0.25">
      <c r="A681">
        <v>3021005438</v>
      </c>
      <c r="B681" t="s">
        <v>1447</v>
      </c>
      <c r="C681" t="str">
        <f>"17863178260092685"</f>
        <v>17863178260092685</v>
      </c>
      <c r="D681" t="s">
        <v>1448</v>
      </c>
      <c r="E681" t="s">
        <v>1449</v>
      </c>
      <c r="F681" t="s">
        <v>1450</v>
      </c>
      <c r="G681" t="s">
        <v>1451</v>
      </c>
    </row>
    <row r="682" spans="1:7" x14ac:dyDescent="0.25">
      <c r="A682">
        <v>2923009042</v>
      </c>
      <c r="B682" t="s">
        <v>1452</v>
      </c>
      <c r="C682" t="str">
        <f>"17884419496033612"</f>
        <v>17884419496033612</v>
      </c>
      <c r="D682" t="s">
        <v>1453</v>
      </c>
      <c r="E682" t="s">
        <v>1454</v>
      </c>
      <c r="F682" t="s">
        <v>1455</v>
      </c>
      <c r="G682" t="s">
        <v>1456</v>
      </c>
    </row>
    <row r="683" spans="1:7" x14ac:dyDescent="0.25">
      <c r="A683">
        <v>573809725</v>
      </c>
      <c r="B683" t="s">
        <v>1457</v>
      </c>
      <c r="C683" t="str">
        <f>"17864557054122378"</f>
        <v>17864557054122378</v>
      </c>
      <c r="D683" t="s">
        <v>1458</v>
      </c>
      <c r="E683" t="s">
        <v>1459</v>
      </c>
      <c r="F683" t="s">
        <v>1460</v>
      </c>
      <c r="G683" t="s">
        <v>1461</v>
      </c>
    </row>
    <row r="684" spans="1:7" x14ac:dyDescent="0.25">
      <c r="A684">
        <v>1571924895</v>
      </c>
      <c r="B684" t="s">
        <v>1438</v>
      </c>
      <c r="C684" t="str">
        <f>"17853546124147202"</f>
        <v>17853546124147202</v>
      </c>
      <c r="D684" t="s">
        <v>1439</v>
      </c>
      <c r="E684" t="s">
        <v>1440</v>
      </c>
      <c r="F684" t="s">
        <v>1441</v>
      </c>
      <c r="G684" t="s">
        <v>1462</v>
      </c>
    </row>
    <row r="685" spans="1:7" x14ac:dyDescent="0.25">
      <c r="A685">
        <v>4002081492</v>
      </c>
      <c r="B685" t="s">
        <v>1443</v>
      </c>
      <c r="C685" t="str">
        <f>"17852341132179206"</f>
        <v>17852341132179206</v>
      </c>
      <c r="D685" t="s">
        <v>23</v>
      </c>
      <c r="E685" t="s">
        <v>1444</v>
      </c>
      <c r="F685" t="s">
        <v>1445</v>
      </c>
      <c r="G685" t="s">
        <v>1463</v>
      </c>
    </row>
    <row r="686" spans="1:7" x14ac:dyDescent="0.25">
      <c r="A686">
        <v>3021005438</v>
      </c>
      <c r="B686" t="s">
        <v>1447</v>
      </c>
      <c r="C686" t="str">
        <f>"17863178260092685"</f>
        <v>17863178260092685</v>
      </c>
      <c r="D686" t="s">
        <v>1448</v>
      </c>
      <c r="E686" t="s">
        <v>1449</v>
      </c>
      <c r="F686" t="s">
        <v>1450</v>
      </c>
      <c r="G686" t="s">
        <v>1464</v>
      </c>
    </row>
    <row r="687" spans="1:7" x14ac:dyDescent="0.25">
      <c r="A687">
        <v>2923009042</v>
      </c>
      <c r="B687" t="s">
        <v>1452</v>
      </c>
      <c r="C687" t="str">
        <f>"17884419496033612"</f>
        <v>17884419496033612</v>
      </c>
      <c r="D687" t="s">
        <v>1453</v>
      </c>
      <c r="E687" t="s">
        <v>1454</v>
      </c>
      <c r="F687" t="s">
        <v>1455</v>
      </c>
      <c r="G687" t="s">
        <v>1465</v>
      </c>
    </row>
    <row r="688" spans="1:7" x14ac:dyDescent="0.25">
      <c r="A688">
        <v>573809725</v>
      </c>
      <c r="B688" t="s">
        <v>1457</v>
      </c>
      <c r="C688" t="str">
        <f>"17864557054122378"</f>
        <v>17864557054122378</v>
      </c>
      <c r="D688" t="s">
        <v>1458</v>
      </c>
      <c r="E688" t="s">
        <v>1459</v>
      </c>
      <c r="F688" t="s">
        <v>1460</v>
      </c>
      <c r="G688" t="s">
        <v>1466</v>
      </c>
    </row>
    <row r="689" spans="1:7" x14ac:dyDescent="0.25">
      <c r="A689">
        <v>1571924895</v>
      </c>
      <c r="B689" t="s">
        <v>1438</v>
      </c>
      <c r="C689" t="str">
        <f>"17853546124147202"</f>
        <v>17853546124147202</v>
      </c>
      <c r="D689" t="s">
        <v>1439</v>
      </c>
      <c r="E689" t="s">
        <v>1440</v>
      </c>
      <c r="F689" t="s">
        <v>1441</v>
      </c>
      <c r="G689" t="s">
        <v>1462</v>
      </c>
    </row>
    <row r="690" spans="1:7" x14ac:dyDescent="0.25">
      <c r="A690">
        <v>4002081492</v>
      </c>
      <c r="B690" t="s">
        <v>1443</v>
      </c>
      <c r="C690" t="str">
        <f>"17852341132179206"</f>
        <v>17852341132179206</v>
      </c>
      <c r="D690" t="s">
        <v>23</v>
      </c>
      <c r="E690" t="s">
        <v>1444</v>
      </c>
      <c r="F690" t="s">
        <v>1445</v>
      </c>
      <c r="G690" t="s">
        <v>1463</v>
      </c>
    </row>
    <row r="691" spans="1:7" x14ac:dyDescent="0.25">
      <c r="A691">
        <v>3021005438</v>
      </c>
      <c r="B691" t="s">
        <v>1447</v>
      </c>
      <c r="C691" t="str">
        <f>"17863178260092685"</f>
        <v>17863178260092685</v>
      </c>
      <c r="D691" t="s">
        <v>1448</v>
      </c>
      <c r="E691" t="s">
        <v>1449</v>
      </c>
      <c r="F691" t="s">
        <v>1450</v>
      </c>
      <c r="G691" t="s">
        <v>1464</v>
      </c>
    </row>
    <row r="692" spans="1:7" x14ac:dyDescent="0.25">
      <c r="A692">
        <v>2923009042</v>
      </c>
      <c r="B692" t="s">
        <v>1452</v>
      </c>
      <c r="C692" t="str">
        <f>"17884419496033612"</f>
        <v>17884419496033612</v>
      </c>
      <c r="D692" t="s">
        <v>1453</v>
      </c>
      <c r="E692" t="s">
        <v>1454</v>
      </c>
      <c r="F692" t="s">
        <v>1455</v>
      </c>
      <c r="G692" t="s">
        <v>1465</v>
      </c>
    </row>
    <row r="693" spans="1:7" x14ac:dyDescent="0.25">
      <c r="A693">
        <v>573809725</v>
      </c>
      <c r="B693" t="s">
        <v>1457</v>
      </c>
      <c r="C693" t="str">
        <f>"17864557054122378"</f>
        <v>17864557054122378</v>
      </c>
      <c r="D693" t="s">
        <v>1458</v>
      </c>
      <c r="E693" t="s">
        <v>1459</v>
      </c>
      <c r="F693" t="s">
        <v>1460</v>
      </c>
      <c r="G693" t="s">
        <v>1466</v>
      </c>
    </row>
    <row r="694" spans="1:7" x14ac:dyDescent="0.25">
      <c r="A694">
        <v>1571924895</v>
      </c>
      <c r="B694" t="s">
        <v>1438</v>
      </c>
      <c r="C694" t="str">
        <f>"17853546124147202"</f>
        <v>17853546124147202</v>
      </c>
      <c r="D694" t="s">
        <v>1439</v>
      </c>
      <c r="E694" t="s">
        <v>1440</v>
      </c>
      <c r="F694" t="s">
        <v>1441</v>
      </c>
      <c r="G694" t="s">
        <v>1442</v>
      </c>
    </row>
    <row r="695" spans="1:7" x14ac:dyDescent="0.25">
      <c r="A695">
        <v>4002081492</v>
      </c>
      <c r="B695" t="s">
        <v>1443</v>
      </c>
      <c r="C695" t="str">
        <f>"17852341132179206"</f>
        <v>17852341132179206</v>
      </c>
      <c r="D695" t="s">
        <v>23</v>
      </c>
      <c r="E695" t="s">
        <v>1444</v>
      </c>
      <c r="F695" t="s">
        <v>1445</v>
      </c>
      <c r="G695" t="s">
        <v>1446</v>
      </c>
    </row>
    <row r="696" spans="1:7" x14ac:dyDescent="0.25">
      <c r="A696">
        <v>3021005438</v>
      </c>
      <c r="B696" t="s">
        <v>1447</v>
      </c>
      <c r="C696" t="str">
        <f>"17863178260092685"</f>
        <v>17863178260092685</v>
      </c>
      <c r="D696" t="s">
        <v>1448</v>
      </c>
      <c r="E696" t="s">
        <v>1449</v>
      </c>
      <c r="F696" t="s">
        <v>1450</v>
      </c>
      <c r="G696" t="s">
        <v>1451</v>
      </c>
    </row>
    <row r="697" spans="1:7" x14ac:dyDescent="0.25">
      <c r="A697">
        <v>2923009042</v>
      </c>
      <c r="B697" t="s">
        <v>1452</v>
      </c>
      <c r="C697" t="str">
        <f>"17884419496033612"</f>
        <v>17884419496033612</v>
      </c>
      <c r="D697" t="s">
        <v>1453</v>
      </c>
      <c r="E697" t="s">
        <v>1454</v>
      </c>
      <c r="F697" t="s">
        <v>1455</v>
      </c>
      <c r="G697" t="s">
        <v>1456</v>
      </c>
    </row>
    <row r="698" spans="1:7" x14ac:dyDescent="0.25">
      <c r="A698">
        <v>573809725</v>
      </c>
      <c r="B698" t="s">
        <v>1457</v>
      </c>
      <c r="C698" t="str">
        <f>"17864557054122378"</f>
        <v>17864557054122378</v>
      </c>
      <c r="D698" t="s">
        <v>1458</v>
      </c>
      <c r="E698" t="s">
        <v>1459</v>
      </c>
      <c r="F698" t="s">
        <v>1460</v>
      </c>
      <c r="G698" t="s">
        <v>1461</v>
      </c>
    </row>
    <row r="699" spans="1:7" x14ac:dyDescent="0.25">
      <c r="A699">
        <v>3008484595</v>
      </c>
      <c r="B699" t="s">
        <v>1467</v>
      </c>
      <c r="C699" t="str">
        <f>"17996314501082304"</f>
        <v>17996314501082304</v>
      </c>
      <c r="D699" t="s">
        <v>1468</v>
      </c>
      <c r="E699" t="s">
        <v>1469</v>
      </c>
      <c r="F699" t="s">
        <v>1470</v>
      </c>
      <c r="G699" t="s">
        <v>1471</v>
      </c>
    </row>
    <row r="700" spans="1:7" x14ac:dyDescent="0.25">
      <c r="A700">
        <v>3008484595</v>
      </c>
      <c r="B700" t="s">
        <v>1467</v>
      </c>
      <c r="C700" t="str">
        <f>"17996314501082304"</f>
        <v>17996314501082304</v>
      </c>
      <c r="D700" t="s">
        <v>1468</v>
      </c>
      <c r="E700" t="s">
        <v>1469</v>
      </c>
      <c r="F700" t="s">
        <v>1470</v>
      </c>
      <c r="G700" t="s">
        <v>1472</v>
      </c>
    </row>
    <row r="701" spans="1:7" x14ac:dyDescent="0.25">
      <c r="A701">
        <v>3008484595</v>
      </c>
      <c r="B701" t="s">
        <v>1467</v>
      </c>
      <c r="C701" t="str">
        <f>"17996314501082304"</f>
        <v>17996314501082304</v>
      </c>
      <c r="D701" t="s">
        <v>1468</v>
      </c>
      <c r="E701" t="s">
        <v>1469</v>
      </c>
      <c r="F701" t="s">
        <v>1470</v>
      </c>
      <c r="G701" t="s">
        <v>1473</v>
      </c>
    </row>
    <row r="702" spans="1:7" x14ac:dyDescent="0.25">
      <c r="A702">
        <v>3008484595</v>
      </c>
      <c r="B702" t="s">
        <v>1467</v>
      </c>
      <c r="C702" t="str">
        <f>"17996314501082304"</f>
        <v>17996314501082304</v>
      </c>
      <c r="D702" t="s">
        <v>1468</v>
      </c>
      <c r="E702" t="s">
        <v>1469</v>
      </c>
      <c r="F702" t="s">
        <v>1470</v>
      </c>
      <c r="G702" t="s">
        <v>1471</v>
      </c>
    </row>
    <row r="703" spans="1:7" x14ac:dyDescent="0.25">
      <c r="A703">
        <v>3876184209</v>
      </c>
      <c r="B703" t="s">
        <v>1474</v>
      </c>
      <c r="C703" t="str">
        <f>"17871578665068748"</f>
        <v>17871578665068748</v>
      </c>
      <c r="D703" t="s">
        <v>1475</v>
      </c>
      <c r="E703" t="s">
        <v>1476</v>
      </c>
      <c r="F703" t="s">
        <v>1477</v>
      </c>
      <c r="G703" t="s">
        <v>1478</v>
      </c>
    </row>
    <row r="704" spans="1:7" x14ac:dyDescent="0.25">
      <c r="A704">
        <v>3876184209</v>
      </c>
      <c r="B704" t="s">
        <v>1474</v>
      </c>
      <c r="C704" t="str">
        <f>"17871578665068748"</f>
        <v>17871578665068748</v>
      </c>
      <c r="D704" t="s">
        <v>1475</v>
      </c>
      <c r="E704" t="s">
        <v>1476</v>
      </c>
      <c r="F704" t="s">
        <v>1477</v>
      </c>
      <c r="G704" t="s">
        <v>1479</v>
      </c>
    </row>
    <row r="705" spans="1:7" x14ac:dyDescent="0.25">
      <c r="A705">
        <v>2346721552</v>
      </c>
      <c r="B705" t="s">
        <v>1480</v>
      </c>
      <c r="C705" t="str">
        <f>"17853302431180011"</f>
        <v>17853302431180011</v>
      </c>
      <c r="D705" t="s">
        <v>1481</v>
      </c>
      <c r="E705" t="s">
        <v>1482</v>
      </c>
      <c r="F705" t="s">
        <v>1483</v>
      </c>
      <c r="G705" t="s">
        <v>1484</v>
      </c>
    </row>
    <row r="706" spans="1:7" x14ac:dyDescent="0.25">
      <c r="A706">
        <v>4930277836</v>
      </c>
      <c r="B706" t="s">
        <v>1485</v>
      </c>
      <c r="C706" t="str">
        <f>"17853514588163503"</f>
        <v>17853514588163503</v>
      </c>
      <c r="D706" t="s">
        <v>1486</v>
      </c>
      <c r="E706" t="s">
        <v>1487</v>
      </c>
      <c r="F706" t="s">
        <v>1488</v>
      </c>
      <c r="G706" t="s">
        <v>1489</v>
      </c>
    </row>
    <row r="707" spans="1:7" x14ac:dyDescent="0.25">
      <c r="A707">
        <v>3876184209</v>
      </c>
      <c r="B707" t="s">
        <v>1474</v>
      </c>
      <c r="C707" t="str">
        <f>"17892359455032484"</f>
        <v>17892359455032484</v>
      </c>
      <c r="D707" t="s">
        <v>1490</v>
      </c>
      <c r="E707" t="s">
        <v>1491</v>
      </c>
      <c r="F707" t="s">
        <v>1477</v>
      </c>
      <c r="G707" t="s">
        <v>1492</v>
      </c>
    </row>
    <row r="708" spans="1:7" x14ac:dyDescent="0.25">
      <c r="A708">
        <v>2346721552</v>
      </c>
      <c r="B708" t="s">
        <v>1480</v>
      </c>
      <c r="C708" t="str">
        <f>"17853302431180011"</f>
        <v>17853302431180011</v>
      </c>
      <c r="D708" t="s">
        <v>1481</v>
      </c>
      <c r="E708" t="s">
        <v>1482</v>
      </c>
      <c r="F708" t="s">
        <v>1483</v>
      </c>
      <c r="G708" t="s">
        <v>1484</v>
      </c>
    </row>
    <row r="709" spans="1:7" x14ac:dyDescent="0.25">
      <c r="A709">
        <v>4930277836</v>
      </c>
      <c r="B709" t="s">
        <v>1485</v>
      </c>
      <c r="C709" t="str">
        <f>"17853514588163503"</f>
        <v>17853514588163503</v>
      </c>
      <c r="D709" t="s">
        <v>1486</v>
      </c>
      <c r="E709" t="s">
        <v>1487</v>
      </c>
      <c r="F709" t="s">
        <v>1488</v>
      </c>
      <c r="G709" t="s">
        <v>1489</v>
      </c>
    </row>
    <row r="710" spans="1:7" x14ac:dyDescent="0.25">
      <c r="A710">
        <v>3876184209</v>
      </c>
      <c r="B710" t="s">
        <v>1474</v>
      </c>
      <c r="C710" t="str">
        <f>"17892359455032484"</f>
        <v>17892359455032484</v>
      </c>
      <c r="D710" t="s">
        <v>1490</v>
      </c>
      <c r="E710" t="s">
        <v>1491</v>
      </c>
      <c r="F710" t="s">
        <v>1477</v>
      </c>
      <c r="G710" t="s">
        <v>1492</v>
      </c>
    </row>
    <row r="711" spans="1:7" x14ac:dyDescent="0.25">
      <c r="A711">
        <v>1939748722</v>
      </c>
      <c r="B711" t="s">
        <v>1493</v>
      </c>
      <c r="C711" t="str">
        <f>"17877392776023403"</f>
        <v>17877392776023403</v>
      </c>
      <c r="D711" t="s">
        <v>1494</v>
      </c>
      <c r="E711" t="s">
        <v>1495</v>
      </c>
      <c r="F711" t="s">
        <v>1496</v>
      </c>
      <c r="G711" t="s">
        <v>1497</v>
      </c>
    </row>
    <row r="712" spans="1:7" x14ac:dyDescent="0.25">
      <c r="A712">
        <v>32366432</v>
      </c>
      <c r="B712" t="s">
        <v>1498</v>
      </c>
      <c r="C712" t="str">
        <f>"17853414136179668"</f>
        <v>17853414136179668</v>
      </c>
      <c r="D712" t="s">
        <v>8</v>
      </c>
      <c r="E712" t="s">
        <v>1499</v>
      </c>
      <c r="F712" t="s">
        <v>1500</v>
      </c>
      <c r="G712" t="s">
        <v>1501</v>
      </c>
    </row>
    <row r="713" spans="1:7" x14ac:dyDescent="0.25">
      <c r="A713">
        <v>1833067122</v>
      </c>
      <c r="B713" t="s">
        <v>1502</v>
      </c>
      <c r="C713" t="str">
        <f>"17855010280148881"</f>
        <v>17855010280148881</v>
      </c>
      <c r="D713" t="s">
        <v>1503</v>
      </c>
      <c r="E713" t="s">
        <v>1504</v>
      </c>
      <c r="F713" t="s">
        <v>1505</v>
      </c>
      <c r="G713" t="s">
        <v>1506</v>
      </c>
    </row>
    <row r="714" spans="1:7" x14ac:dyDescent="0.25">
      <c r="A714">
        <v>3876184209</v>
      </c>
      <c r="B714" t="s">
        <v>1474</v>
      </c>
      <c r="C714" t="str">
        <f>"17878301698048241"</f>
        <v>17878301698048241</v>
      </c>
      <c r="D714" t="s">
        <v>1507</v>
      </c>
      <c r="E714" t="s">
        <v>1508</v>
      </c>
      <c r="F714" t="s">
        <v>1477</v>
      </c>
      <c r="G714" t="s">
        <v>1509</v>
      </c>
    </row>
    <row r="715" spans="1:7" x14ac:dyDescent="0.25">
      <c r="A715">
        <v>2185593750</v>
      </c>
      <c r="B715" t="s">
        <v>1510</v>
      </c>
      <c r="C715" t="str">
        <f>"17891286832042070"</f>
        <v>17891286832042070</v>
      </c>
      <c r="D715" t="s">
        <v>1511</v>
      </c>
      <c r="E715" t="s">
        <v>1512</v>
      </c>
      <c r="F715" t="s">
        <v>1513</v>
      </c>
      <c r="G715" t="s">
        <v>1514</v>
      </c>
    </row>
    <row r="716" spans="1:7" x14ac:dyDescent="0.25">
      <c r="A716">
        <v>1939748722</v>
      </c>
      <c r="B716" t="s">
        <v>1493</v>
      </c>
      <c r="C716" t="str">
        <f>"17877392776023403"</f>
        <v>17877392776023403</v>
      </c>
      <c r="D716" t="s">
        <v>1494</v>
      </c>
      <c r="E716" t="s">
        <v>1495</v>
      </c>
      <c r="F716" t="s">
        <v>1496</v>
      </c>
      <c r="G716" t="s">
        <v>1497</v>
      </c>
    </row>
    <row r="717" spans="1:7" x14ac:dyDescent="0.25">
      <c r="A717">
        <v>32366432</v>
      </c>
      <c r="B717" t="s">
        <v>1498</v>
      </c>
      <c r="C717" t="str">
        <f>"17853414136179668"</f>
        <v>17853414136179668</v>
      </c>
      <c r="D717" t="s">
        <v>8</v>
      </c>
      <c r="E717" t="s">
        <v>1499</v>
      </c>
      <c r="F717" t="s">
        <v>1500</v>
      </c>
      <c r="G717" t="s">
        <v>1501</v>
      </c>
    </row>
    <row r="718" spans="1:7" x14ac:dyDescent="0.25">
      <c r="A718">
        <v>1833067122</v>
      </c>
      <c r="B718" t="s">
        <v>1502</v>
      </c>
      <c r="C718" t="str">
        <f>"17855010280148881"</f>
        <v>17855010280148881</v>
      </c>
      <c r="D718" t="s">
        <v>1503</v>
      </c>
      <c r="E718" t="s">
        <v>1504</v>
      </c>
      <c r="F718" t="s">
        <v>1505</v>
      </c>
      <c r="G718" t="s">
        <v>1506</v>
      </c>
    </row>
    <row r="719" spans="1:7" x14ac:dyDescent="0.25">
      <c r="A719">
        <v>3876184209</v>
      </c>
      <c r="B719" t="s">
        <v>1474</v>
      </c>
      <c r="C719" t="str">
        <f>"17878301698048241"</f>
        <v>17878301698048241</v>
      </c>
      <c r="D719" t="s">
        <v>1507</v>
      </c>
      <c r="E719" t="s">
        <v>1508</v>
      </c>
      <c r="F719" t="s">
        <v>1477</v>
      </c>
      <c r="G719" t="s">
        <v>1509</v>
      </c>
    </row>
    <row r="720" spans="1:7" x14ac:dyDescent="0.25">
      <c r="A720">
        <v>2185593750</v>
      </c>
      <c r="B720" t="s">
        <v>1510</v>
      </c>
      <c r="C720" t="str">
        <f>"17891286832042070"</f>
        <v>17891286832042070</v>
      </c>
      <c r="D720" t="s">
        <v>1511</v>
      </c>
      <c r="E720" t="s">
        <v>1512</v>
      </c>
      <c r="F720" t="s">
        <v>1513</v>
      </c>
      <c r="G720" t="s">
        <v>1514</v>
      </c>
    </row>
    <row r="721" spans="1:7" x14ac:dyDescent="0.25">
      <c r="A721">
        <v>209747299</v>
      </c>
      <c r="B721" t="s">
        <v>1515</v>
      </c>
      <c r="C721" t="str">
        <f>"17871246367077913"</f>
        <v>17871246367077913</v>
      </c>
      <c r="D721" t="s">
        <v>1516</v>
      </c>
      <c r="E721" t="s">
        <v>1517</v>
      </c>
      <c r="F721" t="s">
        <v>1518</v>
      </c>
      <c r="G721" t="s">
        <v>1519</v>
      </c>
    </row>
    <row r="722" spans="1:7" x14ac:dyDescent="0.25">
      <c r="A722">
        <v>209747299</v>
      </c>
      <c r="B722" t="s">
        <v>1515</v>
      </c>
      <c r="C722" t="str">
        <f>"17871246367077913"</f>
        <v>17871246367077913</v>
      </c>
      <c r="D722" t="s">
        <v>1516</v>
      </c>
      <c r="E722" t="s">
        <v>1517</v>
      </c>
      <c r="F722" t="s">
        <v>1518</v>
      </c>
      <c r="G722" t="s">
        <v>1520</v>
      </c>
    </row>
    <row r="723" spans="1:7" x14ac:dyDescent="0.25">
      <c r="A723">
        <v>209747299</v>
      </c>
      <c r="B723" t="s">
        <v>1515</v>
      </c>
      <c r="C723" t="str">
        <f>"17871246367077913"</f>
        <v>17871246367077913</v>
      </c>
      <c r="D723" t="s">
        <v>1516</v>
      </c>
      <c r="E723" t="s">
        <v>1517</v>
      </c>
      <c r="F723" t="s">
        <v>1518</v>
      </c>
      <c r="G723" t="s">
        <v>1519</v>
      </c>
    </row>
    <row r="724" spans="1:7" x14ac:dyDescent="0.25">
      <c r="A724">
        <v>9289233050</v>
      </c>
      <c r="B724" t="s">
        <v>1521</v>
      </c>
      <c r="C724" t="str">
        <f>"18017693131109780"</f>
        <v>18017693131109780</v>
      </c>
      <c r="D724" t="s">
        <v>1522</v>
      </c>
      <c r="E724" t="s">
        <v>1523</v>
      </c>
      <c r="F724" t="s">
        <v>1524</v>
      </c>
      <c r="G724" t="s">
        <v>1525</v>
      </c>
    </row>
    <row r="725" spans="1:7" x14ac:dyDescent="0.25">
      <c r="A725">
        <v>9289233050</v>
      </c>
      <c r="B725" t="s">
        <v>1521</v>
      </c>
      <c r="C725" t="str">
        <f>"18017693131109780"</f>
        <v>18017693131109780</v>
      </c>
      <c r="D725" t="s">
        <v>1522</v>
      </c>
      <c r="E725" t="s">
        <v>1523</v>
      </c>
      <c r="F725" t="s">
        <v>1524</v>
      </c>
      <c r="G725" t="s">
        <v>1525</v>
      </c>
    </row>
    <row r="726" spans="1:7" x14ac:dyDescent="0.25">
      <c r="A726">
        <v>3151392902</v>
      </c>
      <c r="B726" t="s">
        <v>1526</v>
      </c>
      <c r="C726" t="str">
        <f>"17878408747000289"</f>
        <v>17878408747000289</v>
      </c>
      <c r="D726" t="s">
        <v>1527</v>
      </c>
      <c r="E726" t="s">
        <v>1528</v>
      </c>
      <c r="F726" t="s">
        <v>1529</v>
      </c>
      <c r="G726" t="s">
        <v>1530</v>
      </c>
    </row>
    <row r="727" spans="1:7" x14ac:dyDescent="0.25">
      <c r="A727">
        <v>3151392902</v>
      </c>
      <c r="B727" t="s">
        <v>1526</v>
      </c>
      <c r="C727" t="str">
        <f>"17878408747000289"</f>
        <v>17878408747000289</v>
      </c>
      <c r="D727" t="s">
        <v>1527</v>
      </c>
      <c r="E727" t="s">
        <v>1528</v>
      </c>
      <c r="F727" t="s">
        <v>1529</v>
      </c>
      <c r="G727" t="s">
        <v>1530</v>
      </c>
    </row>
    <row r="728" spans="1:7" x14ac:dyDescent="0.25">
      <c r="A728">
        <v>3151392902</v>
      </c>
      <c r="B728" t="s">
        <v>1526</v>
      </c>
      <c r="C728" t="str">
        <f>"17878408747000289"</f>
        <v>17878408747000289</v>
      </c>
      <c r="D728" t="s">
        <v>1527</v>
      </c>
      <c r="E728" t="s">
        <v>1528</v>
      </c>
      <c r="F728" t="s">
        <v>1529</v>
      </c>
      <c r="G728" t="s">
        <v>1531</v>
      </c>
    </row>
    <row r="729" spans="1:7" x14ac:dyDescent="0.25">
      <c r="A729">
        <v>3151392902</v>
      </c>
      <c r="B729" t="s">
        <v>1526</v>
      </c>
      <c r="C729" t="str">
        <f>"17878408747000289"</f>
        <v>17878408747000289</v>
      </c>
      <c r="D729" t="s">
        <v>1527</v>
      </c>
      <c r="E729" t="s">
        <v>1528</v>
      </c>
      <c r="F729" t="s">
        <v>1529</v>
      </c>
      <c r="G729" t="s">
        <v>1530</v>
      </c>
    </row>
    <row r="730" spans="1:7" x14ac:dyDescent="0.25">
      <c r="A730">
        <v>2997794098</v>
      </c>
      <c r="B730" t="s">
        <v>1532</v>
      </c>
      <c r="C730" t="str">
        <f>"17864574808087152"</f>
        <v>17864574808087152</v>
      </c>
      <c r="D730" t="s">
        <v>1533</v>
      </c>
      <c r="E730" t="s">
        <v>1534</v>
      </c>
      <c r="F730" t="s">
        <v>1535</v>
      </c>
      <c r="G730" t="s">
        <v>1536</v>
      </c>
    </row>
    <row r="731" spans="1:7" x14ac:dyDescent="0.25">
      <c r="A731">
        <v>224919271</v>
      </c>
      <c r="B731" t="s">
        <v>1537</v>
      </c>
      <c r="C731" t="str">
        <f>"17853962773178398"</f>
        <v>17853962773178398</v>
      </c>
      <c r="D731" t="s">
        <v>679</v>
      </c>
      <c r="E731" t="s">
        <v>1538</v>
      </c>
      <c r="F731" t="s">
        <v>1539</v>
      </c>
      <c r="G731" t="s">
        <v>1540</v>
      </c>
    </row>
    <row r="732" spans="1:7" x14ac:dyDescent="0.25">
      <c r="A732">
        <v>1409516120</v>
      </c>
      <c r="B732" t="s">
        <v>1541</v>
      </c>
      <c r="C732" t="str">
        <f>"17866239835126742"</f>
        <v>17866239835126742</v>
      </c>
      <c r="D732" t="s">
        <v>359</v>
      </c>
      <c r="E732" t="s">
        <v>1542</v>
      </c>
      <c r="F732" t="s">
        <v>1543</v>
      </c>
      <c r="G732" t="s">
        <v>1544</v>
      </c>
    </row>
    <row r="733" spans="1:7" x14ac:dyDescent="0.25">
      <c r="A733">
        <v>3123365407</v>
      </c>
      <c r="B733" t="s">
        <v>1545</v>
      </c>
      <c r="C733" t="str">
        <f>"17867513929103308"</f>
        <v>17867513929103308</v>
      </c>
      <c r="D733" t="s">
        <v>1546</v>
      </c>
      <c r="E733" t="s">
        <v>1547</v>
      </c>
      <c r="F733" t="s">
        <v>1548</v>
      </c>
      <c r="G733" t="s">
        <v>1549</v>
      </c>
    </row>
    <row r="734" spans="1:7" x14ac:dyDescent="0.25">
      <c r="A734">
        <v>2997794098</v>
      </c>
      <c r="B734" t="s">
        <v>1532</v>
      </c>
      <c r="C734" t="str">
        <f>"17864574808087152"</f>
        <v>17864574808087152</v>
      </c>
      <c r="D734" t="s">
        <v>1533</v>
      </c>
      <c r="E734" t="s">
        <v>1534</v>
      </c>
      <c r="F734" t="s">
        <v>1535</v>
      </c>
      <c r="G734" t="s">
        <v>1536</v>
      </c>
    </row>
    <row r="735" spans="1:7" x14ac:dyDescent="0.25">
      <c r="A735">
        <v>224919271</v>
      </c>
      <c r="B735" t="s">
        <v>1537</v>
      </c>
      <c r="C735" t="str">
        <f>"17853962773178398"</f>
        <v>17853962773178398</v>
      </c>
      <c r="D735" t="s">
        <v>679</v>
      </c>
      <c r="E735" t="s">
        <v>1538</v>
      </c>
      <c r="F735" t="s">
        <v>1539</v>
      </c>
      <c r="G735" t="s">
        <v>1540</v>
      </c>
    </row>
    <row r="736" spans="1:7" x14ac:dyDescent="0.25">
      <c r="A736">
        <v>1409516120</v>
      </c>
      <c r="B736" t="s">
        <v>1541</v>
      </c>
      <c r="C736" t="str">
        <f>"17866239835126742"</f>
        <v>17866239835126742</v>
      </c>
      <c r="D736" t="s">
        <v>359</v>
      </c>
      <c r="E736" t="s">
        <v>1542</v>
      </c>
      <c r="F736" t="s">
        <v>1543</v>
      </c>
      <c r="G736" t="s">
        <v>1544</v>
      </c>
    </row>
    <row r="737" spans="1:7" x14ac:dyDescent="0.25">
      <c r="A737">
        <v>3123365407</v>
      </c>
      <c r="B737" t="s">
        <v>1545</v>
      </c>
      <c r="C737" t="str">
        <f>"17867513929103308"</f>
        <v>17867513929103308</v>
      </c>
      <c r="D737" t="s">
        <v>1546</v>
      </c>
      <c r="E737" t="s">
        <v>1547</v>
      </c>
      <c r="F737" t="s">
        <v>1548</v>
      </c>
      <c r="G737" t="s">
        <v>1549</v>
      </c>
    </row>
    <row r="738" spans="1:7" x14ac:dyDescent="0.25">
      <c r="A738">
        <v>2179296943</v>
      </c>
      <c r="B738" t="s">
        <v>1550</v>
      </c>
      <c r="C738" t="str">
        <f>"17864801737080189"</f>
        <v>17864801737080189</v>
      </c>
      <c r="D738" t="s">
        <v>1458</v>
      </c>
      <c r="E738" t="s">
        <v>1551</v>
      </c>
      <c r="F738" t="s">
        <v>1552</v>
      </c>
      <c r="G738" t="s">
        <v>1553</v>
      </c>
    </row>
    <row r="739" spans="1:7" x14ac:dyDescent="0.25">
      <c r="A739">
        <v>300897923</v>
      </c>
      <c r="B739" t="s">
        <v>1554</v>
      </c>
      <c r="C739" t="str">
        <f>"17872498921065202"</f>
        <v>17872498921065202</v>
      </c>
      <c r="D739" t="s">
        <v>779</v>
      </c>
      <c r="E739" t="s">
        <v>1555</v>
      </c>
      <c r="F739" t="s">
        <v>1556</v>
      </c>
      <c r="G739" t="s">
        <v>1557</v>
      </c>
    </row>
    <row r="740" spans="1:7" x14ac:dyDescent="0.25">
      <c r="A740">
        <v>1708869006</v>
      </c>
      <c r="B740" t="s">
        <v>1558</v>
      </c>
      <c r="C740" t="str">
        <f>"17880073372005046"</f>
        <v>17880073372005046</v>
      </c>
      <c r="D740" t="s">
        <v>1559</v>
      </c>
      <c r="E740" t="s">
        <v>1560</v>
      </c>
      <c r="F740" t="s">
        <v>1561</v>
      </c>
      <c r="G740" t="s">
        <v>1562</v>
      </c>
    </row>
    <row r="741" spans="1:7" x14ac:dyDescent="0.25">
      <c r="A741">
        <v>1708869006</v>
      </c>
      <c r="B741" t="s">
        <v>1558</v>
      </c>
      <c r="C741" t="str">
        <f>"17880073372005046"</f>
        <v>17880073372005046</v>
      </c>
      <c r="D741" t="s">
        <v>1559</v>
      </c>
      <c r="E741" t="s">
        <v>1560</v>
      </c>
      <c r="F741" t="s">
        <v>1561</v>
      </c>
      <c r="G741" t="s">
        <v>1563</v>
      </c>
    </row>
    <row r="742" spans="1:7" x14ac:dyDescent="0.25">
      <c r="A742">
        <v>1708869006</v>
      </c>
      <c r="B742" t="s">
        <v>1558</v>
      </c>
      <c r="C742" t="str">
        <f>"17880073372005046"</f>
        <v>17880073372005046</v>
      </c>
      <c r="D742" t="s">
        <v>1559</v>
      </c>
      <c r="E742" t="s">
        <v>1560</v>
      </c>
      <c r="F742" t="s">
        <v>1561</v>
      </c>
      <c r="G742" t="s">
        <v>1562</v>
      </c>
    </row>
    <row r="743" spans="1:7" x14ac:dyDescent="0.25">
      <c r="A743">
        <v>1971726101</v>
      </c>
      <c r="B743" t="s">
        <v>1564</v>
      </c>
      <c r="C743" t="str">
        <f>"17878735885036491"</f>
        <v>17878735885036491</v>
      </c>
      <c r="D743" t="s">
        <v>1166</v>
      </c>
      <c r="E743" t="s">
        <v>1565</v>
      </c>
      <c r="F743" t="s">
        <v>1566</v>
      </c>
      <c r="G743" t="s">
        <v>1567</v>
      </c>
    </row>
    <row r="744" spans="1:7" x14ac:dyDescent="0.25">
      <c r="A744">
        <v>1971726101</v>
      </c>
      <c r="B744" t="s">
        <v>1564</v>
      </c>
      <c r="C744" t="str">
        <f>"17878735885036491"</f>
        <v>17878735885036491</v>
      </c>
      <c r="D744" t="s">
        <v>1166</v>
      </c>
      <c r="E744" t="s">
        <v>1565</v>
      </c>
      <c r="F744" t="s">
        <v>1566</v>
      </c>
      <c r="G744" t="s">
        <v>1567</v>
      </c>
    </row>
    <row r="745" spans="1:7" x14ac:dyDescent="0.25">
      <c r="A745">
        <v>3205467279</v>
      </c>
      <c r="B745" t="s">
        <v>1568</v>
      </c>
      <c r="C745" t="str">
        <f>"17880652498004470"</f>
        <v>17880652498004470</v>
      </c>
      <c r="D745" t="s">
        <v>152</v>
      </c>
      <c r="E745" t="s">
        <v>1569</v>
      </c>
      <c r="F745" t="s">
        <v>1570</v>
      </c>
      <c r="G745" t="s">
        <v>1571</v>
      </c>
    </row>
    <row r="746" spans="1:7" x14ac:dyDescent="0.25">
      <c r="A746">
        <v>3401083344</v>
      </c>
      <c r="B746" t="s">
        <v>1572</v>
      </c>
      <c r="C746" t="str">
        <f>"17855124727174162"</f>
        <v>17855124727174162</v>
      </c>
      <c r="D746" t="s">
        <v>882</v>
      </c>
      <c r="E746" t="s">
        <v>1573</v>
      </c>
      <c r="F746" t="s">
        <v>1574</v>
      </c>
      <c r="G746" t="s">
        <v>1575</v>
      </c>
    </row>
    <row r="747" spans="1:7" x14ac:dyDescent="0.25">
      <c r="A747">
        <v>3205467279</v>
      </c>
      <c r="B747" t="s">
        <v>1568</v>
      </c>
      <c r="C747" t="str">
        <f>"17880652498004470"</f>
        <v>17880652498004470</v>
      </c>
      <c r="D747" t="s">
        <v>152</v>
      </c>
      <c r="E747" t="s">
        <v>1569</v>
      </c>
      <c r="F747" t="s">
        <v>1570</v>
      </c>
      <c r="G747" t="s">
        <v>1571</v>
      </c>
    </row>
    <row r="748" spans="1:7" x14ac:dyDescent="0.25">
      <c r="A748">
        <v>3401083344</v>
      </c>
      <c r="B748" t="s">
        <v>1572</v>
      </c>
      <c r="C748" t="str">
        <f>"17855124727174162"</f>
        <v>17855124727174162</v>
      </c>
      <c r="D748" t="s">
        <v>882</v>
      </c>
      <c r="E748" t="s">
        <v>1573</v>
      </c>
      <c r="F748" t="s">
        <v>1574</v>
      </c>
      <c r="G748" t="s">
        <v>1575</v>
      </c>
    </row>
    <row r="749" spans="1:7" x14ac:dyDescent="0.25">
      <c r="A749">
        <v>3205467279</v>
      </c>
      <c r="B749" t="s">
        <v>1568</v>
      </c>
      <c r="C749" t="str">
        <f>"17880652498004470"</f>
        <v>17880652498004470</v>
      </c>
      <c r="D749" t="s">
        <v>152</v>
      </c>
      <c r="E749" t="s">
        <v>1569</v>
      </c>
      <c r="F749" t="s">
        <v>1570</v>
      </c>
      <c r="G749" t="s">
        <v>1571</v>
      </c>
    </row>
    <row r="750" spans="1:7" x14ac:dyDescent="0.25">
      <c r="A750">
        <v>3401083344</v>
      </c>
      <c r="B750" t="s">
        <v>1572</v>
      </c>
      <c r="C750" t="str">
        <f>"17855124727174162"</f>
        <v>17855124727174162</v>
      </c>
      <c r="D750" t="s">
        <v>882</v>
      </c>
      <c r="E750" t="s">
        <v>1573</v>
      </c>
      <c r="F750" t="s">
        <v>1574</v>
      </c>
      <c r="G750" t="s">
        <v>1575</v>
      </c>
    </row>
    <row r="751" spans="1:7" x14ac:dyDescent="0.25">
      <c r="A751">
        <v>3401083344</v>
      </c>
      <c r="B751" t="s">
        <v>1572</v>
      </c>
      <c r="C751" t="str">
        <f>"17855608543167468"</f>
        <v>17855608543167468</v>
      </c>
      <c r="D751" t="s">
        <v>1576</v>
      </c>
      <c r="E751" t="s">
        <v>1577</v>
      </c>
      <c r="F751" t="s">
        <v>1574</v>
      </c>
      <c r="G751" t="s">
        <v>1578</v>
      </c>
    </row>
    <row r="752" spans="1:7" x14ac:dyDescent="0.25">
      <c r="A752">
        <v>3401083344</v>
      </c>
      <c r="B752" t="s">
        <v>1572</v>
      </c>
      <c r="C752" t="str">
        <f>"17855608543167468"</f>
        <v>17855608543167468</v>
      </c>
      <c r="D752" t="s">
        <v>1576</v>
      </c>
      <c r="E752" t="s">
        <v>1577</v>
      </c>
      <c r="F752" t="s">
        <v>1574</v>
      </c>
      <c r="G752" t="s">
        <v>1578</v>
      </c>
    </row>
    <row r="753" spans="1:7" x14ac:dyDescent="0.25">
      <c r="A753">
        <v>1516281217</v>
      </c>
      <c r="B753" t="s">
        <v>1579</v>
      </c>
      <c r="C753" t="str">
        <f>"17868233929109334"</f>
        <v>17868233929109334</v>
      </c>
      <c r="D753" t="s">
        <v>1580</v>
      </c>
      <c r="E753" t="s">
        <v>1581</v>
      </c>
      <c r="F753" t="s">
        <v>1582</v>
      </c>
      <c r="G753" t="s">
        <v>1583</v>
      </c>
    </row>
    <row r="754" spans="1:7" x14ac:dyDescent="0.25">
      <c r="A754">
        <v>1516281217</v>
      </c>
      <c r="B754" t="s">
        <v>1579</v>
      </c>
      <c r="C754" t="str">
        <f>"17868233929109334"</f>
        <v>17868233929109334</v>
      </c>
      <c r="D754" t="s">
        <v>1580</v>
      </c>
      <c r="E754" t="s">
        <v>1581</v>
      </c>
      <c r="F754" t="s">
        <v>1582</v>
      </c>
      <c r="G754" t="s">
        <v>1583</v>
      </c>
    </row>
    <row r="755" spans="1:7" x14ac:dyDescent="0.25">
      <c r="A755">
        <v>4204115365</v>
      </c>
      <c r="B755" t="s">
        <v>1584</v>
      </c>
      <c r="C755" t="str">
        <f>"18048981178041699"</f>
        <v>18048981178041699</v>
      </c>
      <c r="D755" t="s">
        <v>1585</v>
      </c>
      <c r="E755" t="s">
        <v>1586</v>
      </c>
      <c r="F755" t="s">
        <v>1587</v>
      </c>
      <c r="G755" t="s">
        <v>1588</v>
      </c>
    </row>
    <row r="756" spans="1:7" x14ac:dyDescent="0.25">
      <c r="A756">
        <v>4204115365</v>
      </c>
      <c r="B756" t="s">
        <v>1584</v>
      </c>
      <c r="C756" t="str">
        <f>"18048981178041699"</f>
        <v>18048981178041699</v>
      </c>
      <c r="D756" t="s">
        <v>1585</v>
      </c>
      <c r="E756" t="s">
        <v>1586</v>
      </c>
      <c r="F756" t="s">
        <v>1587</v>
      </c>
      <c r="G756" t="s">
        <v>1589</v>
      </c>
    </row>
    <row r="757" spans="1:7" x14ac:dyDescent="0.25">
      <c r="A757">
        <v>4204115365</v>
      </c>
      <c r="B757" t="s">
        <v>1584</v>
      </c>
      <c r="C757" t="str">
        <f>"18048981178041699"</f>
        <v>18048981178041699</v>
      </c>
      <c r="D757" t="s">
        <v>1585</v>
      </c>
      <c r="E757" t="s">
        <v>1586</v>
      </c>
      <c r="F757" t="s">
        <v>1587</v>
      </c>
      <c r="G757" t="s">
        <v>1588</v>
      </c>
    </row>
    <row r="758" spans="1:7" x14ac:dyDescent="0.25">
      <c r="A758">
        <v>248573412</v>
      </c>
      <c r="B758" t="s">
        <v>1590</v>
      </c>
      <c r="C758" t="str">
        <f>"18036021670043038"</f>
        <v>18036021670043038</v>
      </c>
      <c r="D758" t="s">
        <v>1591</v>
      </c>
      <c r="E758" t="s">
        <v>1592</v>
      </c>
      <c r="F758" t="s">
        <v>1593</v>
      </c>
      <c r="G758" t="s">
        <v>1594</v>
      </c>
    </row>
    <row r="759" spans="1:7" x14ac:dyDescent="0.25">
      <c r="A759">
        <v>248573412</v>
      </c>
      <c r="B759" t="s">
        <v>1590</v>
      </c>
      <c r="C759" t="str">
        <f>"18036021670043038"</f>
        <v>18036021670043038</v>
      </c>
      <c r="D759" t="s">
        <v>1591</v>
      </c>
      <c r="E759" t="s">
        <v>1592</v>
      </c>
      <c r="F759" t="s">
        <v>1593</v>
      </c>
      <c r="G759" t="s">
        <v>1595</v>
      </c>
    </row>
    <row r="760" spans="1:7" x14ac:dyDescent="0.25">
      <c r="A760">
        <v>248573412</v>
      </c>
      <c r="B760" t="s">
        <v>1590</v>
      </c>
      <c r="C760" t="str">
        <f>"18036021670043038"</f>
        <v>18036021670043038</v>
      </c>
      <c r="D760" t="s">
        <v>1591</v>
      </c>
      <c r="E760" t="s">
        <v>1592</v>
      </c>
      <c r="F760" t="s">
        <v>1593</v>
      </c>
      <c r="G760" t="s">
        <v>1594</v>
      </c>
    </row>
    <row r="761" spans="1:7" x14ac:dyDescent="0.25">
      <c r="A761">
        <v>2613233248</v>
      </c>
      <c r="B761" t="s">
        <v>1596</v>
      </c>
      <c r="C761" t="str">
        <f>"17881194439040690"</f>
        <v>17881194439040690</v>
      </c>
      <c r="D761" t="s">
        <v>689</v>
      </c>
      <c r="E761" t="s">
        <v>1597</v>
      </c>
      <c r="F761" t="s">
        <v>1598</v>
      </c>
      <c r="G761" t="s">
        <v>1599</v>
      </c>
    </row>
    <row r="762" spans="1:7" x14ac:dyDescent="0.25">
      <c r="A762">
        <v>2613233248</v>
      </c>
      <c r="B762" t="s">
        <v>1596</v>
      </c>
      <c r="C762" t="str">
        <f>"17881194439040690"</f>
        <v>17881194439040690</v>
      </c>
      <c r="D762" t="s">
        <v>689</v>
      </c>
      <c r="E762" t="s">
        <v>1597</v>
      </c>
      <c r="F762" t="s">
        <v>1598</v>
      </c>
      <c r="G762" t="s">
        <v>1600</v>
      </c>
    </row>
    <row r="763" spans="1:7" x14ac:dyDescent="0.25">
      <c r="A763">
        <v>2613233248</v>
      </c>
      <c r="B763" t="s">
        <v>1596</v>
      </c>
      <c r="C763" t="str">
        <f>"17881194439040690"</f>
        <v>17881194439040690</v>
      </c>
      <c r="D763" t="s">
        <v>689</v>
      </c>
      <c r="E763" t="s">
        <v>1597</v>
      </c>
      <c r="F763" t="s">
        <v>1598</v>
      </c>
      <c r="G763" t="s">
        <v>1599</v>
      </c>
    </row>
    <row r="764" spans="1:7" x14ac:dyDescent="0.25">
      <c r="A764">
        <v>3276236196</v>
      </c>
      <c r="B764" t="s">
        <v>1601</v>
      </c>
      <c r="C764" t="str">
        <f>"17857333384179421"</f>
        <v>17857333384179421</v>
      </c>
      <c r="D764" t="s">
        <v>1602</v>
      </c>
      <c r="E764" t="s">
        <v>1603</v>
      </c>
      <c r="F764" t="s">
        <v>1604</v>
      </c>
      <c r="G764" t="s">
        <v>1605</v>
      </c>
    </row>
    <row r="765" spans="1:7" x14ac:dyDescent="0.25">
      <c r="A765">
        <v>3276236196</v>
      </c>
      <c r="B765" t="s">
        <v>1601</v>
      </c>
      <c r="C765" t="str">
        <f>"17857333384179421"</f>
        <v>17857333384179421</v>
      </c>
      <c r="D765" t="s">
        <v>1602</v>
      </c>
      <c r="E765" t="s">
        <v>1603</v>
      </c>
      <c r="F765" t="s">
        <v>1604</v>
      </c>
      <c r="G765" t="s">
        <v>1606</v>
      </c>
    </row>
    <row r="766" spans="1:7" x14ac:dyDescent="0.25">
      <c r="A766">
        <v>3276236196</v>
      </c>
      <c r="B766" t="s">
        <v>1601</v>
      </c>
      <c r="C766" t="str">
        <f>"17857333384179421"</f>
        <v>17857333384179421</v>
      </c>
      <c r="D766" t="s">
        <v>1602</v>
      </c>
      <c r="E766" t="s">
        <v>1603</v>
      </c>
      <c r="F766" t="s">
        <v>1604</v>
      </c>
      <c r="G766" t="s">
        <v>1605</v>
      </c>
    </row>
    <row r="767" spans="1:7" x14ac:dyDescent="0.25">
      <c r="A767">
        <v>4958502139</v>
      </c>
      <c r="B767" t="s">
        <v>1607</v>
      </c>
      <c r="C767" t="str">
        <f>"17882114431054216"</f>
        <v>17882114431054216</v>
      </c>
      <c r="D767" t="s">
        <v>82</v>
      </c>
      <c r="E767" t="s">
        <v>1608</v>
      </c>
      <c r="F767" t="s">
        <v>1609</v>
      </c>
      <c r="G767" t="s">
        <v>1610</v>
      </c>
    </row>
    <row r="768" spans="1:7" x14ac:dyDescent="0.25">
      <c r="A768">
        <v>4958502139</v>
      </c>
      <c r="B768" t="s">
        <v>1607</v>
      </c>
      <c r="C768" t="str">
        <f>"17882114431054216"</f>
        <v>17882114431054216</v>
      </c>
      <c r="D768" t="s">
        <v>82</v>
      </c>
      <c r="E768" t="s">
        <v>1608</v>
      </c>
      <c r="F768" t="s">
        <v>1609</v>
      </c>
      <c r="G768" t="s">
        <v>1611</v>
      </c>
    </row>
    <row r="769" spans="1:7" x14ac:dyDescent="0.25">
      <c r="A769">
        <v>4958502139</v>
      </c>
      <c r="B769" t="s">
        <v>1607</v>
      </c>
      <c r="C769" t="str">
        <f>"17882114431054216"</f>
        <v>17882114431054216</v>
      </c>
      <c r="D769" t="s">
        <v>82</v>
      </c>
      <c r="E769" t="s">
        <v>1608</v>
      </c>
      <c r="F769" t="s">
        <v>1609</v>
      </c>
      <c r="G769" t="s">
        <v>1611</v>
      </c>
    </row>
    <row r="770" spans="1:7" x14ac:dyDescent="0.25">
      <c r="A770">
        <v>4958502139</v>
      </c>
      <c r="B770" t="s">
        <v>1607</v>
      </c>
      <c r="C770" t="str">
        <f>"17882114431054216"</f>
        <v>17882114431054216</v>
      </c>
      <c r="D770" t="s">
        <v>82</v>
      </c>
      <c r="E770" t="s">
        <v>1608</v>
      </c>
      <c r="F770" t="s">
        <v>1609</v>
      </c>
      <c r="G770" t="s">
        <v>1610</v>
      </c>
    </row>
    <row r="771" spans="1:7" x14ac:dyDescent="0.25">
      <c r="A771">
        <v>764194408</v>
      </c>
      <c r="B771" t="s">
        <v>1612</v>
      </c>
      <c r="C771" t="str">
        <f>"17868148447085641"</f>
        <v>17868148447085641</v>
      </c>
      <c r="D771" t="s">
        <v>1613</v>
      </c>
      <c r="E771" t="s">
        <v>1614</v>
      </c>
      <c r="F771" t="s">
        <v>1615</v>
      </c>
      <c r="G771" t="s">
        <v>1616</v>
      </c>
    </row>
    <row r="772" spans="1:7" x14ac:dyDescent="0.25">
      <c r="A772">
        <v>764194408</v>
      </c>
      <c r="B772" t="s">
        <v>1612</v>
      </c>
      <c r="C772" t="str">
        <f>"17868148447085641"</f>
        <v>17868148447085641</v>
      </c>
      <c r="D772" t="s">
        <v>1613</v>
      </c>
      <c r="E772" t="s">
        <v>1614</v>
      </c>
      <c r="F772" t="s">
        <v>1615</v>
      </c>
      <c r="G772" t="s">
        <v>1616</v>
      </c>
    </row>
    <row r="773" spans="1:7" x14ac:dyDescent="0.25">
      <c r="A773">
        <v>3478177744</v>
      </c>
      <c r="B773" t="s">
        <v>1617</v>
      </c>
      <c r="C773" t="str">
        <f>"17870938060102487"</f>
        <v>17870938060102487</v>
      </c>
      <c r="D773" t="s">
        <v>1618</v>
      </c>
      <c r="E773" t="s">
        <v>1619</v>
      </c>
      <c r="F773" t="s">
        <v>1620</v>
      </c>
      <c r="G773" t="s">
        <v>1621</v>
      </c>
    </row>
    <row r="774" spans="1:7" x14ac:dyDescent="0.25">
      <c r="A774">
        <v>3478177744</v>
      </c>
      <c r="B774" t="s">
        <v>1617</v>
      </c>
      <c r="C774" t="str">
        <f>"17870938060102487"</f>
        <v>17870938060102487</v>
      </c>
      <c r="D774" t="s">
        <v>1618</v>
      </c>
      <c r="E774" t="s">
        <v>1619</v>
      </c>
      <c r="F774" t="s">
        <v>1620</v>
      </c>
      <c r="G774" t="s">
        <v>1621</v>
      </c>
    </row>
    <row r="775" spans="1:7" x14ac:dyDescent="0.25">
      <c r="A775">
        <v>3478177744</v>
      </c>
      <c r="B775" t="s">
        <v>1617</v>
      </c>
      <c r="C775" t="str">
        <f>"17870938060102487"</f>
        <v>17870938060102487</v>
      </c>
      <c r="D775" t="s">
        <v>1618</v>
      </c>
      <c r="E775" t="s">
        <v>1619</v>
      </c>
      <c r="F775" t="s">
        <v>1620</v>
      </c>
      <c r="G775" t="s">
        <v>1621</v>
      </c>
    </row>
    <row r="776" spans="1:7" x14ac:dyDescent="0.25">
      <c r="A776">
        <v>194798717</v>
      </c>
      <c r="B776" t="s">
        <v>1622</v>
      </c>
      <c r="C776" t="str">
        <f>"17858769220154650"</f>
        <v>17858769220154650</v>
      </c>
      <c r="D776" t="s">
        <v>1623</v>
      </c>
      <c r="E776" t="s">
        <v>1624</v>
      </c>
      <c r="F776" t="s">
        <v>1625</v>
      </c>
      <c r="G776" t="s">
        <v>1626</v>
      </c>
    </row>
    <row r="777" spans="1:7" x14ac:dyDescent="0.25">
      <c r="A777">
        <v>194798717</v>
      </c>
      <c r="B777" t="s">
        <v>1622</v>
      </c>
      <c r="C777" t="str">
        <f>"17858769220154650"</f>
        <v>17858769220154650</v>
      </c>
      <c r="D777" t="s">
        <v>1623</v>
      </c>
      <c r="E777" t="s">
        <v>1624</v>
      </c>
      <c r="F777" t="s">
        <v>1625</v>
      </c>
      <c r="G777" t="s">
        <v>1626</v>
      </c>
    </row>
    <row r="778" spans="1:7" x14ac:dyDescent="0.25">
      <c r="A778">
        <v>194798717</v>
      </c>
      <c r="B778" t="s">
        <v>1622</v>
      </c>
      <c r="C778" t="str">
        <f>"17858769220154650"</f>
        <v>17858769220154650</v>
      </c>
      <c r="D778" t="s">
        <v>1623</v>
      </c>
      <c r="E778" t="s">
        <v>1624</v>
      </c>
      <c r="F778" t="s">
        <v>1625</v>
      </c>
      <c r="G778" t="s">
        <v>1626</v>
      </c>
    </row>
    <row r="779" spans="1:7" x14ac:dyDescent="0.25">
      <c r="A779">
        <v>2147528200</v>
      </c>
      <c r="B779" t="s">
        <v>1627</v>
      </c>
      <c r="C779" t="str">
        <f>"17889696088032097"</f>
        <v>17889696088032097</v>
      </c>
      <c r="D779" t="s">
        <v>1628</v>
      </c>
      <c r="E779" t="s">
        <v>1629</v>
      </c>
      <c r="F779" t="s">
        <v>1630</v>
      </c>
      <c r="G779" t="s">
        <v>1631</v>
      </c>
    </row>
    <row r="780" spans="1:7" x14ac:dyDescent="0.25">
      <c r="A780">
        <v>2147528200</v>
      </c>
      <c r="B780" t="s">
        <v>1627</v>
      </c>
      <c r="C780" t="str">
        <f>"17889696088032097"</f>
        <v>17889696088032097</v>
      </c>
      <c r="D780" t="s">
        <v>1628</v>
      </c>
      <c r="E780" t="s">
        <v>1629</v>
      </c>
      <c r="F780" t="s">
        <v>1630</v>
      </c>
      <c r="G780" t="s">
        <v>1632</v>
      </c>
    </row>
    <row r="781" spans="1:7" x14ac:dyDescent="0.25">
      <c r="A781">
        <v>2147528200</v>
      </c>
      <c r="B781" t="s">
        <v>1627</v>
      </c>
      <c r="C781" t="str">
        <f>"17889696088032097"</f>
        <v>17889696088032097</v>
      </c>
      <c r="D781" t="s">
        <v>1628</v>
      </c>
      <c r="E781" t="s">
        <v>1629</v>
      </c>
      <c r="F781" t="s">
        <v>1630</v>
      </c>
      <c r="G781" t="s">
        <v>1631</v>
      </c>
    </row>
    <row r="782" spans="1:7" x14ac:dyDescent="0.25">
      <c r="A782">
        <v>368372962</v>
      </c>
      <c r="B782" t="s">
        <v>1633</v>
      </c>
      <c r="C782" t="str">
        <f>"17858211772181070"</f>
        <v>17858211772181070</v>
      </c>
      <c r="D782" t="s">
        <v>1634</v>
      </c>
      <c r="E782" t="s">
        <v>1635</v>
      </c>
      <c r="F782" t="s">
        <v>1636</v>
      </c>
      <c r="G782" t="s">
        <v>1637</v>
      </c>
    </row>
    <row r="783" spans="1:7" x14ac:dyDescent="0.25">
      <c r="A783">
        <v>368372962</v>
      </c>
      <c r="B783" t="s">
        <v>1633</v>
      </c>
      <c r="C783" t="str">
        <f>"17858211772181070"</f>
        <v>17858211772181070</v>
      </c>
      <c r="D783" t="s">
        <v>1634</v>
      </c>
      <c r="E783" t="s">
        <v>1635</v>
      </c>
      <c r="F783" t="s">
        <v>1636</v>
      </c>
      <c r="G783" t="s">
        <v>1637</v>
      </c>
    </row>
    <row r="784" spans="1:7" x14ac:dyDescent="0.25">
      <c r="A784">
        <v>1349973281</v>
      </c>
      <c r="B784" t="s">
        <v>1638</v>
      </c>
      <c r="C784" t="str">
        <f>"17861071141143639"</f>
        <v>17861071141143639</v>
      </c>
      <c r="D784" t="s">
        <v>1383</v>
      </c>
      <c r="E784" t="s">
        <v>1639</v>
      </c>
      <c r="F784" t="s">
        <v>1640</v>
      </c>
      <c r="G784" t="s">
        <v>1641</v>
      </c>
    </row>
    <row r="785" spans="1:7" x14ac:dyDescent="0.25">
      <c r="A785">
        <v>1349973281</v>
      </c>
      <c r="B785" t="s">
        <v>1638</v>
      </c>
      <c r="C785" t="str">
        <f>"17861071141143639"</f>
        <v>17861071141143639</v>
      </c>
      <c r="D785" t="s">
        <v>1383</v>
      </c>
      <c r="E785" t="s">
        <v>1639</v>
      </c>
      <c r="F785" t="s">
        <v>1640</v>
      </c>
      <c r="G785" t="s">
        <v>1642</v>
      </c>
    </row>
    <row r="786" spans="1:7" x14ac:dyDescent="0.25">
      <c r="A786">
        <v>1349973281</v>
      </c>
      <c r="B786" t="s">
        <v>1638</v>
      </c>
      <c r="C786" t="str">
        <f>"17861071141143639"</f>
        <v>17861071141143639</v>
      </c>
      <c r="D786" t="s">
        <v>1383</v>
      </c>
      <c r="E786" t="s">
        <v>1639</v>
      </c>
      <c r="F786" t="s">
        <v>1640</v>
      </c>
      <c r="G786" t="s">
        <v>1641</v>
      </c>
    </row>
    <row r="787" spans="1:7" x14ac:dyDescent="0.25">
      <c r="A787">
        <v>1012822728</v>
      </c>
      <c r="B787" t="s">
        <v>1643</v>
      </c>
      <c r="C787" t="str">
        <f>"17974689580234351"</f>
        <v>17974689580234351</v>
      </c>
      <c r="D787" t="s">
        <v>1644</v>
      </c>
      <c r="E787" t="s">
        <v>1645</v>
      </c>
      <c r="F787" t="s">
        <v>1646</v>
      </c>
      <c r="G787" t="s">
        <v>1647</v>
      </c>
    </row>
    <row r="788" spans="1:7" x14ac:dyDescent="0.25">
      <c r="A788">
        <v>1012822728</v>
      </c>
      <c r="B788" t="s">
        <v>1643</v>
      </c>
      <c r="C788" t="str">
        <f>"17974689580234351"</f>
        <v>17974689580234351</v>
      </c>
      <c r="D788" t="s">
        <v>1644</v>
      </c>
      <c r="E788" t="s">
        <v>1645</v>
      </c>
      <c r="F788" t="s">
        <v>1646</v>
      </c>
      <c r="G788" t="s">
        <v>1647</v>
      </c>
    </row>
    <row r="789" spans="1:7" x14ac:dyDescent="0.25">
      <c r="A789">
        <v>189474363</v>
      </c>
      <c r="B789" t="s">
        <v>1648</v>
      </c>
      <c r="C789" t="str">
        <f>"17884430707014033"</f>
        <v>17884430707014033</v>
      </c>
      <c r="D789" t="s">
        <v>1649</v>
      </c>
      <c r="E789" t="s">
        <v>1650</v>
      </c>
      <c r="F789" t="s">
        <v>1651</v>
      </c>
      <c r="G789" t="s">
        <v>1652</v>
      </c>
    </row>
    <row r="790" spans="1:7" x14ac:dyDescent="0.25">
      <c r="A790">
        <v>2898414592</v>
      </c>
      <c r="B790" t="s">
        <v>1653</v>
      </c>
      <c r="C790" t="str">
        <f>"17858507227164160"</f>
        <v>17858507227164160</v>
      </c>
      <c r="D790" t="s">
        <v>1654</v>
      </c>
      <c r="E790" t="s">
        <v>1655</v>
      </c>
      <c r="F790" t="s">
        <v>1656</v>
      </c>
      <c r="G790" t="s">
        <v>1657</v>
      </c>
    </row>
    <row r="791" spans="1:7" x14ac:dyDescent="0.25">
      <c r="A791">
        <v>360869663</v>
      </c>
      <c r="B791" t="s">
        <v>1658</v>
      </c>
      <c r="C791" t="str">
        <f>"17884097785055608"</f>
        <v>17884097785055608</v>
      </c>
      <c r="D791" t="s">
        <v>1659</v>
      </c>
      <c r="E791" t="s">
        <v>1660</v>
      </c>
      <c r="F791" t="s">
        <v>1661</v>
      </c>
      <c r="G791" t="s">
        <v>1662</v>
      </c>
    </row>
    <row r="792" spans="1:7" x14ac:dyDescent="0.25">
      <c r="A792">
        <v>189474363</v>
      </c>
      <c r="B792" t="s">
        <v>1648</v>
      </c>
      <c r="C792" t="str">
        <f>"17884430707014033"</f>
        <v>17884430707014033</v>
      </c>
      <c r="D792" t="s">
        <v>1649</v>
      </c>
      <c r="E792" t="s">
        <v>1650</v>
      </c>
      <c r="F792" t="s">
        <v>1651</v>
      </c>
      <c r="G792" t="s">
        <v>1652</v>
      </c>
    </row>
    <row r="793" spans="1:7" x14ac:dyDescent="0.25">
      <c r="A793">
        <v>2898414592</v>
      </c>
      <c r="B793" t="s">
        <v>1653</v>
      </c>
      <c r="C793" t="str">
        <f>"17858507227164160"</f>
        <v>17858507227164160</v>
      </c>
      <c r="D793" t="s">
        <v>1654</v>
      </c>
      <c r="E793" t="s">
        <v>1655</v>
      </c>
      <c r="F793" t="s">
        <v>1656</v>
      </c>
      <c r="G793" t="s">
        <v>1657</v>
      </c>
    </row>
    <row r="794" spans="1:7" x14ac:dyDescent="0.25">
      <c r="A794">
        <v>360869663</v>
      </c>
      <c r="B794" t="s">
        <v>1658</v>
      </c>
      <c r="C794" t="str">
        <f>"17884097785055608"</f>
        <v>17884097785055608</v>
      </c>
      <c r="D794" t="s">
        <v>1659</v>
      </c>
      <c r="E794" t="s">
        <v>1660</v>
      </c>
      <c r="F794" t="s">
        <v>1661</v>
      </c>
      <c r="G794" t="s">
        <v>1662</v>
      </c>
    </row>
    <row r="795" spans="1:7" x14ac:dyDescent="0.25">
      <c r="A795">
        <v>189474363</v>
      </c>
      <c r="B795" t="s">
        <v>1648</v>
      </c>
      <c r="C795" t="str">
        <f>"17884430707014033"</f>
        <v>17884430707014033</v>
      </c>
      <c r="D795" t="s">
        <v>1649</v>
      </c>
      <c r="E795" t="s">
        <v>1650</v>
      </c>
      <c r="F795" t="s">
        <v>1651</v>
      </c>
      <c r="G795" t="s">
        <v>1652</v>
      </c>
    </row>
    <row r="796" spans="1:7" x14ac:dyDescent="0.25">
      <c r="A796">
        <v>2898414592</v>
      </c>
      <c r="B796" t="s">
        <v>1653</v>
      </c>
      <c r="C796" t="str">
        <f>"17858507227164160"</f>
        <v>17858507227164160</v>
      </c>
      <c r="D796" t="s">
        <v>1654</v>
      </c>
      <c r="E796" t="s">
        <v>1655</v>
      </c>
      <c r="F796" t="s">
        <v>1656</v>
      </c>
      <c r="G796" t="s">
        <v>1657</v>
      </c>
    </row>
    <row r="797" spans="1:7" x14ac:dyDescent="0.25">
      <c r="A797">
        <v>360869663</v>
      </c>
      <c r="B797" t="s">
        <v>1658</v>
      </c>
      <c r="C797" t="str">
        <f>"17884097785055608"</f>
        <v>17884097785055608</v>
      </c>
      <c r="D797" t="s">
        <v>1659</v>
      </c>
      <c r="E797" t="s">
        <v>1660</v>
      </c>
      <c r="F797" t="s">
        <v>1661</v>
      </c>
      <c r="G797" t="s">
        <v>1662</v>
      </c>
    </row>
    <row r="798" spans="1:7" x14ac:dyDescent="0.25">
      <c r="A798">
        <v>3008484595</v>
      </c>
      <c r="B798" t="s">
        <v>1467</v>
      </c>
      <c r="C798" t="str">
        <f>"17974028029228853"</f>
        <v>17974028029228853</v>
      </c>
      <c r="D798" t="s">
        <v>1663</v>
      </c>
      <c r="E798" t="s">
        <v>1664</v>
      </c>
      <c r="F798" t="s">
        <v>1470</v>
      </c>
      <c r="G798" t="s">
        <v>1665</v>
      </c>
    </row>
    <row r="799" spans="1:7" x14ac:dyDescent="0.25">
      <c r="A799">
        <v>3008484595</v>
      </c>
      <c r="B799" t="s">
        <v>1467</v>
      </c>
      <c r="C799" t="str">
        <f>"17974028029228853"</f>
        <v>17974028029228853</v>
      </c>
      <c r="D799" t="s">
        <v>1663</v>
      </c>
      <c r="E799" t="s">
        <v>1664</v>
      </c>
      <c r="F799" t="s">
        <v>1470</v>
      </c>
      <c r="G799" t="s">
        <v>1665</v>
      </c>
    </row>
    <row r="800" spans="1:7" x14ac:dyDescent="0.25">
      <c r="A800">
        <v>1629734013</v>
      </c>
      <c r="B800" t="s">
        <v>1666</v>
      </c>
      <c r="C800" t="str">
        <f>"17973077470237188"</f>
        <v>17973077470237188</v>
      </c>
      <c r="D800" t="s">
        <v>1667</v>
      </c>
      <c r="E800" t="s">
        <v>1668</v>
      </c>
      <c r="F800" t="s">
        <v>1669</v>
      </c>
      <c r="G800" t="s">
        <v>1670</v>
      </c>
    </row>
    <row r="801" spans="1:7" x14ac:dyDescent="0.25">
      <c r="A801">
        <v>7288405506</v>
      </c>
      <c r="B801" t="s">
        <v>1671</v>
      </c>
      <c r="C801" t="str">
        <f>"17875076764330451"</f>
        <v>17875076764330451</v>
      </c>
      <c r="D801" t="s">
        <v>1672</v>
      </c>
      <c r="E801" t="s">
        <v>1673</v>
      </c>
      <c r="F801" t="s">
        <v>1674</v>
      </c>
      <c r="G801" t="s">
        <v>1675</v>
      </c>
    </row>
    <row r="802" spans="1:7" x14ac:dyDescent="0.25">
      <c r="A802">
        <v>1629734013</v>
      </c>
      <c r="B802" t="s">
        <v>1666</v>
      </c>
      <c r="C802" t="str">
        <f>"17973077470237188"</f>
        <v>17973077470237188</v>
      </c>
      <c r="D802" t="s">
        <v>1667</v>
      </c>
      <c r="E802" t="s">
        <v>1668</v>
      </c>
      <c r="F802" t="s">
        <v>1669</v>
      </c>
      <c r="G802" t="s">
        <v>1676</v>
      </c>
    </row>
    <row r="803" spans="1:7" x14ac:dyDescent="0.25">
      <c r="A803">
        <v>7288405506</v>
      </c>
      <c r="B803" t="s">
        <v>1671</v>
      </c>
      <c r="C803" t="str">
        <f>"17875076764330451"</f>
        <v>17875076764330451</v>
      </c>
      <c r="D803" t="s">
        <v>1672</v>
      </c>
      <c r="E803" t="s">
        <v>1673</v>
      </c>
      <c r="F803" t="s">
        <v>1674</v>
      </c>
      <c r="G803" t="s">
        <v>1677</v>
      </c>
    </row>
    <row r="804" spans="1:7" x14ac:dyDescent="0.25">
      <c r="A804">
        <v>2887047789</v>
      </c>
      <c r="B804" t="s">
        <v>1678</v>
      </c>
      <c r="C804" t="str">
        <f>"17859742126187448"</f>
        <v>17859742126187448</v>
      </c>
      <c r="D804" t="s">
        <v>1258</v>
      </c>
      <c r="E804" t="s">
        <v>1679</v>
      </c>
      <c r="F804" t="s">
        <v>1680</v>
      </c>
      <c r="G804" t="s">
        <v>1681</v>
      </c>
    </row>
    <row r="805" spans="1:7" x14ac:dyDescent="0.25">
      <c r="A805">
        <v>22103127</v>
      </c>
      <c r="B805" t="s">
        <v>1682</v>
      </c>
      <c r="C805" t="str">
        <f>"17887826731035718"</f>
        <v>17887826731035718</v>
      </c>
      <c r="D805" t="s">
        <v>1683</v>
      </c>
      <c r="E805" t="s">
        <v>1684</v>
      </c>
      <c r="F805" t="s">
        <v>1685</v>
      </c>
      <c r="G805" t="s">
        <v>1686</v>
      </c>
    </row>
    <row r="806" spans="1:7" x14ac:dyDescent="0.25">
      <c r="A806">
        <v>2887047789</v>
      </c>
      <c r="B806" t="s">
        <v>1678</v>
      </c>
      <c r="C806" t="str">
        <f>"17859742126187448"</f>
        <v>17859742126187448</v>
      </c>
      <c r="D806" t="s">
        <v>1258</v>
      </c>
      <c r="E806" t="s">
        <v>1679</v>
      </c>
      <c r="F806" t="s">
        <v>1680</v>
      </c>
      <c r="G806" t="s">
        <v>1681</v>
      </c>
    </row>
    <row r="807" spans="1:7" x14ac:dyDescent="0.25">
      <c r="A807">
        <v>22103127</v>
      </c>
      <c r="B807" t="s">
        <v>1682</v>
      </c>
      <c r="C807" t="str">
        <f>"17887826731035718"</f>
        <v>17887826731035718</v>
      </c>
      <c r="D807" t="s">
        <v>1683</v>
      </c>
      <c r="E807" t="s">
        <v>1684</v>
      </c>
      <c r="F807" t="s">
        <v>1685</v>
      </c>
      <c r="G807" t="s">
        <v>1686</v>
      </c>
    </row>
    <row r="808" spans="1:7" x14ac:dyDescent="0.25">
      <c r="A808">
        <v>4262351440</v>
      </c>
      <c r="B808" t="s">
        <v>1687</v>
      </c>
      <c r="C808" t="str">
        <f>"17859969976171370"</f>
        <v>17859969976171370</v>
      </c>
      <c r="D808" t="s">
        <v>1688</v>
      </c>
      <c r="E808" t="s">
        <v>1689</v>
      </c>
      <c r="F808" t="s">
        <v>1690</v>
      </c>
      <c r="G808" t="s">
        <v>1691</v>
      </c>
    </row>
    <row r="809" spans="1:7" x14ac:dyDescent="0.25">
      <c r="A809">
        <v>4288820570</v>
      </c>
      <c r="B809" t="s">
        <v>1692</v>
      </c>
      <c r="C809" t="str">
        <f>"17885111788058847"</f>
        <v>17885111788058847</v>
      </c>
      <c r="D809" t="s">
        <v>174</v>
      </c>
      <c r="E809" t="s">
        <v>1693</v>
      </c>
      <c r="F809" t="s">
        <v>1694</v>
      </c>
      <c r="G809" t="s">
        <v>1695</v>
      </c>
    </row>
    <row r="810" spans="1:7" x14ac:dyDescent="0.25">
      <c r="A810">
        <v>4262351440</v>
      </c>
      <c r="B810" t="s">
        <v>1687</v>
      </c>
      <c r="C810" t="str">
        <f>"17859969976171370"</f>
        <v>17859969976171370</v>
      </c>
      <c r="D810" t="s">
        <v>1688</v>
      </c>
      <c r="E810" t="s">
        <v>1689</v>
      </c>
      <c r="F810" t="s">
        <v>1690</v>
      </c>
      <c r="G810" t="s">
        <v>1691</v>
      </c>
    </row>
    <row r="811" spans="1:7" x14ac:dyDescent="0.25">
      <c r="A811">
        <v>4288820570</v>
      </c>
      <c r="B811" t="s">
        <v>1692</v>
      </c>
      <c r="C811" t="str">
        <f>"17885111788058847"</f>
        <v>17885111788058847</v>
      </c>
      <c r="D811" t="s">
        <v>174</v>
      </c>
      <c r="E811" t="s">
        <v>1693</v>
      </c>
      <c r="F811" t="s">
        <v>1694</v>
      </c>
      <c r="G811" t="s">
        <v>1695</v>
      </c>
    </row>
    <row r="812" spans="1:7" x14ac:dyDescent="0.25">
      <c r="A812">
        <v>3556304110</v>
      </c>
      <c r="B812" t="s">
        <v>1696</v>
      </c>
      <c r="C812" t="str">
        <f>"17872047463103132"</f>
        <v>17872047463103132</v>
      </c>
      <c r="D812" t="s">
        <v>1697</v>
      </c>
      <c r="E812" t="s">
        <v>1698</v>
      </c>
      <c r="F812" t="s">
        <v>1699</v>
      </c>
      <c r="G812" t="s">
        <v>1700</v>
      </c>
    </row>
    <row r="813" spans="1:7" x14ac:dyDescent="0.25">
      <c r="A813">
        <v>3556304110</v>
      </c>
      <c r="B813" t="s">
        <v>1696</v>
      </c>
      <c r="C813" t="str">
        <f>"17872047463103132"</f>
        <v>17872047463103132</v>
      </c>
      <c r="D813" t="s">
        <v>1697</v>
      </c>
      <c r="E813" t="s">
        <v>1698</v>
      </c>
      <c r="F813" t="s">
        <v>1699</v>
      </c>
      <c r="G813" t="s">
        <v>1700</v>
      </c>
    </row>
    <row r="814" spans="1:7" x14ac:dyDescent="0.25">
      <c r="A814">
        <v>22103127</v>
      </c>
      <c r="B814" t="s">
        <v>1682</v>
      </c>
      <c r="C814" t="str">
        <f>"17881593739068165"</f>
        <v>17881593739068165</v>
      </c>
      <c r="D814" t="s">
        <v>1701</v>
      </c>
      <c r="E814" t="s">
        <v>1702</v>
      </c>
      <c r="F814" t="s">
        <v>1685</v>
      </c>
      <c r="G814" t="s">
        <v>1703</v>
      </c>
    </row>
    <row r="815" spans="1:7" x14ac:dyDescent="0.25">
      <c r="A815">
        <v>22103127</v>
      </c>
      <c r="B815" t="s">
        <v>1682</v>
      </c>
      <c r="C815" t="str">
        <f>"17881593739068165"</f>
        <v>17881593739068165</v>
      </c>
      <c r="D815" t="s">
        <v>1701</v>
      </c>
      <c r="E815" t="s">
        <v>1702</v>
      </c>
      <c r="F815" t="s">
        <v>1685</v>
      </c>
      <c r="G815" t="s">
        <v>1703</v>
      </c>
    </row>
    <row r="816" spans="1:7" x14ac:dyDescent="0.25">
      <c r="A816">
        <v>1603212311</v>
      </c>
      <c r="B816" t="s">
        <v>1704</v>
      </c>
      <c r="C816" t="str">
        <f>"17872295818090932"</f>
        <v>17872295818090932</v>
      </c>
      <c r="D816" t="s">
        <v>1705</v>
      </c>
      <c r="E816" t="s">
        <v>1706</v>
      </c>
      <c r="F816" t="s">
        <v>1707</v>
      </c>
      <c r="G816" t="s">
        <v>1708</v>
      </c>
    </row>
    <row r="817" spans="1:7" x14ac:dyDescent="0.25">
      <c r="A817">
        <v>1603212311</v>
      </c>
      <c r="B817" t="s">
        <v>1704</v>
      </c>
      <c r="C817" t="str">
        <f>"17872295818090932"</f>
        <v>17872295818090932</v>
      </c>
      <c r="D817" t="s">
        <v>1705</v>
      </c>
      <c r="E817" t="s">
        <v>1706</v>
      </c>
      <c r="F817" t="s">
        <v>1707</v>
      </c>
      <c r="G817" t="s">
        <v>1708</v>
      </c>
    </row>
    <row r="818" spans="1:7" x14ac:dyDescent="0.25">
      <c r="A818">
        <v>1933653569</v>
      </c>
      <c r="B818" t="s">
        <v>1709</v>
      </c>
      <c r="C818" t="str">
        <f>"17886251695042537"</f>
        <v>17886251695042537</v>
      </c>
      <c r="D818" t="s">
        <v>1710</v>
      </c>
      <c r="E818" t="s">
        <v>1711</v>
      </c>
      <c r="F818" t="s">
        <v>1712</v>
      </c>
      <c r="G818" t="s">
        <v>1713</v>
      </c>
    </row>
    <row r="819" spans="1:7" x14ac:dyDescent="0.25">
      <c r="A819">
        <v>1933653569</v>
      </c>
      <c r="B819" t="s">
        <v>1709</v>
      </c>
      <c r="C819" t="str">
        <f>"17886251695042537"</f>
        <v>17886251695042537</v>
      </c>
      <c r="D819" t="s">
        <v>1710</v>
      </c>
      <c r="E819" t="s">
        <v>1711</v>
      </c>
      <c r="F819" t="s">
        <v>1712</v>
      </c>
      <c r="G819" t="s">
        <v>1713</v>
      </c>
    </row>
    <row r="820" spans="1:7" x14ac:dyDescent="0.25">
      <c r="A820">
        <v>1933653569</v>
      </c>
      <c r="B820" t="s">
        <v>1709</v>
      </c>
      <c r="C820" t="str">
        <f>"17886251695042537"</f>
        <v>17886251695042537</v>
      </c>
      <c r="D820" t="s">
        <v>1710</v>
      </c>
      <c r="E820" t="s">
        <v>1711</v>
      </c>
      <c r="F820" t="s">
        <v>1712</v>
      </c>
      <c r="G820" t="s">
        <v>1713</v>
      </c>
    </row>
    <row r="821" spans="1:7" x14ac:dyDescent="0.25">
      <c r="A821">
        <v>309601172</v>
      </c>
      <c r="B821" t="s">
        <v>1714</v>
      </c>
      <c r="C821" t="str">
        <f>"17867883631138379"</f>
        <v>17867883631138379</v>
      </c>
      <c r="D821" t="s">
        <v>1715</v>
      </c>
      <c r="E821" t="s">
        <v>1716</v>
      </c>
      <c r="F821" t="s">
        <v>1717</v>
      </c>
      <c r="G821" t="s">
        <v>1718</v>
      </c>
    </row>
    <row r="822" spans="1:7" x14ac:dyDescent="0.25">
      <c r="A822">
        <v>309601172</v>
      </c>
      <c r="B822" t="s">
        <v>1714</v>
      </c>
      <c r="C822" t="str">
        <f>"17867883631138379"</f>
        <v>17867883631138379</v>
      </c>
      <c r="D822" t="s">
        <v>1715</v>
      </c>
      <c r="E822" t="s">
        <v>1716</v>
      </c>
      <c r="F822" t="s">
        <v>1717</v>
      </c>
      <c r="G822" t="s">
        <v>1719</v>
      </c>
    </row>
    <row r="823" spans="1:7" x14ac:dyDescent="0.25">
      <c r="A823">
        <v>309601172</v>
      </c>
      <c r="B823" t="s">
        <v>1714</v>
      </c>
      <c r="C823" t="str">
        <f>"17867883631138379"</f>
        <v>17867883631138379</v>
      </c>
      <c r="D823" t="s">
        <v>1715</v>
      </c>
      <c r="E823" t="s">
        <v>1716</v>
      </c>
      <c r="F823" t="s">
        <v>1717</v>
      </c>
      <c r="G823" t="s">
        <v>1718</v>
      </c>
    </row>
    <row r="824" spans="1:7" x14ac:dyDescent="0.25">
      <c r="A824">
        <v>3464388949</v>
      </c>
      <c r="B824" t="s">
        <v>1720</v>
      </c>
      <c r="C824" t="str">
        <f>"17866000300137431"</f>
        <v>17866000300137431</v>
      </c>
      <c r="D824" t="s">
        <v>1721</v>
      </c>
      <c r="E824" t="s">
        <v>1722</v>
      </c>
      <c r="F824" t="s">
        <v>1723</v>
      </c>
      <c r="G824" t="s">
        <v>1724</v>
      </c>
    </row>
    <row r="825" spans="1:7" x14ac:dyDescent="0.25">
      <c r="A825">
        <v>4118307075</v>
      </c>
      <c r="B825" t="s">
        <v>1725</v>
      </c>
      <c r="C825" t="str">
        <f>"17847826396196652"</f>
        <v>17847826396196652</v>
      </c>
      <c r="D825" t="s">
        <v>1726</v>
      </c>
      <c r="E825" t="s">
        <v>1727</v>
      </c>
      <c r="F825" t="s">
        <v>1728</v>
      </c>
      <c r="G825" t="s">
        <v>1729</v>
      </c>
    </row>
    <row r="826" spans="1:7" x14ac:dyDescent="0.25">
      <c r="A826">
        <v>3464388949</v>
      </c>
      <c r="B826" t="s">
        <v>1720</v>
      </c>
      <c r="C826" t="str">
        <f>"17866000300137431"</f>
        <v>17866000300137431</v>
      </c>
      <c r="D826" t="s">
        <v>1721</v>
      </c>
      <c r="E826" t="s">
        <v>1722</v>
      </c>
      <c r="F826" t="s">
        <v>1723</v>
      </c>
      <c r="G826" t="s">
        <v>1724</v>
      </c>
    </row>
    <row r="827" spans="1:7" x14ac:dyDescent="0.25">
      <c r="A827">
        <v>4118307075</v>
      </c>
      <c r="B827" t="s">
        <v>1725</v>
      </c>
      <c r="C827" t="str">
        <f>"17847826396196652"</f>
        <v>17847826396196652</v>
      </c>
      <c r="D827" t="s">
        <v>1726</v>
      </c>
      <c r="E827" t="s">
        <v>1727</v>
      </c>
      <c r="F827" t="s">
        <v>1728</v>
      </c>
      <c r="G827" t="s">
        <v>1729</v>
      </c>
    </row>
    <row r="828" spans="1:7" x14ac:dyDescent="0.25">
      <c r="A828">
        <v>3464388949</v>
      </c>
      <c r="B828" t="s">
        <v>1720</v>
      </c>
      <c r="C828" t="str">
        <f>"17866000300137431"</f>
        <v>17866000300137431</v>
      </c>
      <c r="D828" t="s">
        <v>1721</v>
      </c>
      <c r="E828" t="s">
        <v>1722</v>
      </c>
      <c r="F828" t="s">
        <v>1723</v>
      </c>
      <c r="G828" t="s">
        <v>1724</v>
      </c>
    </row>
    <row r="829" spans="1:7" x14ac:dyDescent="0.25">
      <c r="A829">
        <v>4118307075</v>
      </c>
      <c r="B829" t="s">
        <v>1725</v>
      </c>
      <c r="C829" t="str">
        <f>"17847826396196652"</f>
        <v>17847826396196652</v>
      </c>
      <c r="D829" t="s">
        <v>1726</v>
      </c>
      <c r="E829" t="s">
        <v>1727</v>
      </c>
      <c r="F829" t="s">
        <v>1728</v>
      </c>
      <c r="G829" t="s">
        <v>1729</v>
      </c>
    </row>
    <row r="830" spans="1:7" x14ac:dyDescent="0.25">
      <c r="A830">
        <v>4234816839</v>
      </c>
      <c r="B830" t="s">
        <v>1730</v>
      </c>
      <c r="C830" t="str">
        <f>"17865331705152465"</f>
        <v>17865331705152465</v>
      </c>
      <c r="D830" t="s">
        <v>1731</v>
      </c>
      <c r="E830" t="s">
        <v>1732</v>
      </c>
      <c r="F830" t="s">
        <v>1733</v>
      </c>
      <c r="G830" t="s">
        <v>1734</v>
      </c>
    </row>
    <row r="831" spans="1:7" x14ac:dyDescent="0.25">
      <c r="A831">
        <v>4234816839</v>
      </c>
      <c r="B831" t="s">
        <v>1730</v>
      </c>
      <c r="C831" t="str">
        <f>"17865331705152465"</f>
        <v>17865331705152465</v>
      </c>
      <c r="D831" t="s">
        <v>1731</v>
      </c>
      <c r="E831" t="s">
        <v>1732</v>
      </c>
      <c r="F831" t="s">
        <v>1733</v>
      </c>
      <c r="G831" t="s">
        <v>1734</v>
      </c>
    </row>
    <row r="832" spans="1:7" x14ac:dyDescent="0.25">
      <c r="A832">
        <v>5349430313</v>
      </c>
      <c r="B832" t="s">
        <v>1735</v>
      </c>
      <c r="C832" t="str">
        <f>"17890045723020153"</f>
        <v>17890045723020153</v>
      </c>
      <c r="D832" t="s">
        <v>1736</v>
      </c>
      <c r="E832" t="s">
        <v>1737</v>
      </c>
      <c r="F832" t="s">
        <v>1738</v>
      </c>
      <c r="G832" t="s">
        <v>1739</v>
      </c>
    </row>
    <row r="833" spans="1:7" x14ac:dyDescent="0.25">
      <c r="A833">
        <v>5349430313</v>
      </c>
      <c r="B833" t="s">
        <v>1735</v>
      </c>
      <c r="C833" t="str">
        <f>"17890045723020153"</f>
        <v>17890045723020153</v>
      </c>
      <c r="D833" t="s">
        <v>1736</v>
      </c>
      <c r="E833" t="s">
        <v>1737</v>
      </c>
      <c r="F833" t="s">
        <v>1738</v>
      </c>
      <c r="G833" t="s">
        <v>1740</v>
      </c>
    </row>
    <row r="834" spans="1:7" x14ac:dyDescent="0.25">
      <c r="A834">
        <v>5349430313</v>
      </c>
      <c r="B834" t="s">
        <v>1735</v>
      </c>
      <c r="C834" t="str">
        <f>"17890045723020153"</f>
        <v>17890045723020153</v>
      </c>
      <c r="D834" t="s">
        <v>1736</v>
      </c>
      <c r="E834" t="s">
        <v>1737</v>
      </c>
      <c r="F834" t="s">
        <v>1738</v>
      </c>
      <c r="G834" t="s">
        <v>1739</v>
      </c>
    </row>
    <row r="835" spans="1:7" x14ac:dyDescent="0.25">
      <c r="A835">
        <v>1549494501</v>
      </c>
      <c r="B835" t="s">
        <v>527</v>
      </c>
      <c r="C835" t="str">
        <f>"18015022258175727"</f>
        <v>18015022258175727</v>
      </c>
      <c r="D835" t="s">
        <v>8</v>
      </c>
      <c r="E835" t="s">
        <v>1741</v>
      </c>
      <c r="F835" t="s">
        <v>530</v>
      </c>
      <c r="G835" t="s">
        <v>1742</v>
      </c>
    </row>
    <row r="836" spans="1:7" x14ac:dyDescent="0.25">
      <c r="A836">
        <v>11326462235</v>
      </c>
      <c r="B836" t="s">
        <v>1743</v>
      </c>
      <c r="C836" t="str">
        <f>"18042165757097749"</f>
        <v>18042165757097749</v>
      </c>
      <c r="D836" t="s">
        <v>1744</v>
      </c>
      <c r="E836" t="s">
        <v>1745</v>
      </c>
      <c r="F836" t="s">
        <v>1746</v>
      </c>
      <c r="G836" t="s">
        <v>1747</v>
      </c>
    </row>
    <row r="837" spans="1:7" x14ac:dyDescent="0.25">
      <c r="A837">
        <v>1549494501</v>
      </c>
      <c r="B837" t="s">
        <v>527</v>
      </c>
      <c r="C837" t="str">
        <f>"17948770495277337"</f>
        <v>17948770495277337</v>
      </c>
      <c r="D837" t="s">
        <v>1748</v>
      </c>
      <c r="E837" t="s">
        <v>1749</v>
      </c>
      <c r="F837" t="s">
        <v>530</v>
      </c>
      <c r="G837" t="s">
        <v>1750</v>
      </c>
    </row>
    <row r="838" spans="1:7" x14ac:dyDescent="0.25">
      <c r="A838">
        <v>6935551352</v>
      </c>
      <c r="B838" t="s">
        <v>1751</v>
      </c>
      <c r="C838" t="str">
        <f>"18049534492077557"</f>
        <v>18049534492077557</v>
      </c>
      <c r="D838" t="s">
        <v>759</v>
      </c>
      <c r="E838" t="s">
        <v>1752</v>
      </c>
      <c r="F838" t="s">
        <v>1753</v>
      </c>
      <c r="G838" t="s">
        <v>1754</v>
      </c>
    </row>
    <row r="839" spans="1:7" x14ac:dyDescent="0.25">
      <c r="A839">
        <v>6935551352</v>
      </c>
      <c r="B839" t="s">
        <v>1751</v>
      </c>
      <c r="C839" t="str">
        <f>"18049534492077557"</f>
        <v>18049534492077557</v>
      </c>
      <c r="D839" t="s">
        <v>759</v>
      </c>
      <c r="E839" t="s">
        <v>1752</v>
      </c>
      <c r="F839" t="s">
        <v>1753</v>
      </c>
      <c r="G839" t="s">
        <v>1755</v>
      </c>
    </row>
    <row r="840" spans="1:7" x14ac:dyDescent="0.25">
      <c r="A840">
        <v>6935551352</v>
      </c>
      <c r="B840" t="s">
        <v>1751</v>
      </c>
      <c r="C840" t="str">
        <f>"18049534492077557"</f>
        <v>18049534492077557</v>
      </c>
      <c r="D840" t="s">
        <v>759</v>
      </c>
      <c r="E840" t="s">
        <v>1752</v>
      </c>
      <c r="F840" t="s">
        <v>1753</v>
      </c>
      <c r="G840" t="s">
        <v>1756</v>
      </c>
    </row>
    <row r="841" spans="1:7" x14ac:dyDescent="0.25">
      <c r="A841">
        <v>6935551352</v>
      </c>
      <c r="B841" t="s">
        <v>1751</v>
      </c>
      <c r="C841" t="str">
        <f>"18049534492077557"</f>
        <v>18049534492077557</v>
      </c>
      <c r="D841" t="s">
        <v>759</v>
      </c>
      <c r="E841" t="s">
        <v>1752</v>
      </c>
      <c r="F841" t="s">
        <v>1753</v>
      </c>
      <c r="G841" t="s">
        <v>1756</v>
      </c>
    </row>
    <row r="842" spans="1:7" x14ac:dyDescent="0.25">
      <c r="A842">
        <v>6935551352</v>
      </c>
      <c r="B842" t="s">
        <v>1751</v>
      </c>
      <c r="C842" t="str">
        <f>"18049534492077557"</f>
        <v>18049534492077557</v>
      </c>
      <c r="D842" t="s">
        <v>759</v>
      </c>
      <c r="E842" t="s">
        <v>1752</v>
      </c>
      <c r="F842" t="s">
        <v>1753</v>
      </c>
      <c r="G842" t="s">
        <v>1754</v>
      </c>
    </row>
    <row r="843" spans="1:7" x14ac:dyDescent="0.25">
      <c r="A843">
        <v>6733257916</v>
      </c>
      <c r="B843" t="s">
        <v>1757</v>
      </c>
      <c r="C843" t="str">
        <f>"18018225568170277"</f>
        <v>18018225568170277</v>
      </c>
      <c r="D843" t="s">
        <v>1758</v>
      </c>
      <c r="E843" t="s">
        <v>1759</v>
      </c>
      <c r="F843" t="s">
        <v>1760</v>
      </c>
      <c r="G843" t="s">
        <v>1761</v>
      </c>
    </row>
    <row r="844" spans="1:7" x14ac:dyDescent="0.25">
      <c r="A844">
        <v>360869663</v>
      </c>
      <c r="B844" t="s">
        <v>1658</v>
      </c>
      <c r="C844" t="str">
        <f>"17848960624416558"</f>
        <v>17848960624416558</v>
      </c>
      <c r="D844" t="s">
        <v>1762</v>
      </c>
      <c r="E844" t="s">
        <v>1763</v>
      </c>
      <c r="F844" t="s">
        <v>1661</v>
      </c>
      <c r="G844" t="s">
        <v>1764</v>
      </c>
    </row>
    <row r="845" spans="1:7" x14ac:dyDescent="0.25">
      <c r="A845">
        <v>12610493629</v>
      </c>
      <c r="B845" t="s">
        <v>1765</v>
      </c>
      <c r="C845" t="str">
        <f>"18023060776164716"</f>
        <v>18023060776164716</v>
      </c>
      <c r="D845" t="s">
        <v>1766</v>
      </c>
      <c r="E845" t="s">
        <v>1767</v>
      </c>
      <c r="F845" t="s">
        <v>1768</v>
      </c>
      <c r="G845" t="s">
        <v>1769</v>
      </c>
    </row>
    <row r="846" spans="1:7" x14ac:dyDescent="0.25">
      <c r="A846">
        <v>6988063610</v>
      </c>
      <c r="B846" t="s">
        <v>1770</v>
      </c>
      <c r="C846" t="str">
        <f>"17857203286464069"</f>
        <v>17857203286464069</v>
      </c>
      <c r="D846" t="s">
        <v>1771</v>
      </c>
      <c r="E846" t="s">
        <v>1772</v>
      </c>
      <c r="F846" t="s">
        <v>1773</v>
      </c>
      <c r="G846" t="s">
        <v>1774</v>
      </c>
    </row>
    <row r="847" spans="1:7" x14ac:dyDescent="0.25">
      <c r="A847">
        <v>6733257916</v>
      </c>
      <c r="B847" t="s">
        <v>1757</v>
      </c>
      <c r="C847" t="str">
        <f>"18018225568170277"</f>
        <v>18018225568170277</v>
      </c>
      <c r="D847" t="s">
        <v>1758</v>
      </c>
      <c r="E847" t="s">
        <v>1759</v>
      </c>
      <c r="F847" t="s">
        <v>1760</v>
      </c>
      <c r="G847" t="s">
        <v>1761</v>
      </c>
    </row>
    <row r="848" spans="1:7" x14ac:dyDescent="0.25">
      <c r="A848">
        <v>360869663</v>
      </c>
      <c r="B848" t="s">
        <v>1658</v>
      </c>
      <c r="C848" t="str">
        <f>"17848960624416558"</f>
        <v>17848960624416558</v>
      </c>
      <c r="D848" t="s">
        <v>1762</v>
      </c>
      <c r="E848" t="s">
        <v>1763</v>
      </c>
      <c r="F848" t="s">
        <v>1661</v>
      </c>
      <c r="G848" t="s">
        <v>1764</v>
      </c>
    </row>
    <row r="849" spans="1:7" x14ac:dyDescent="0.25">
      <c r="A849">
        <v>12610493629</v>
      </c>
      <c r="B849" t="s">
        <v>1765</v>
      </c>
      <c r="C849" t="str">
        <f>"18023060776164716"</f>
        <v>18023060776164716</v>
      </c>
      <c r="D849" t="s">
        <v>1766</v>
      </c>
      <c r="E849" t="s">
        <v>1767</v>
      </c>
      <c r="F849" t="s">
        <v>1768</v>
      </c>
      <c r="G849" t="s">
        <v>1769</v>
      </c>
    </row>
    <row r="850" spans="1:7" x14ac:dyDescent="0.25">
      <c r="A850">
        <v>6988063610</v>
      </c>
      <c r="B850" t="s">
        <v>1770</v>
      </c>
      <c r="C850" t="str">
        <f>"17857203286464069"</f>
        <v>17857203286464069</v>
      </c>
      <c r="D850" t="s">
        <v>1771</v>
      </c>
      <c r="E850" t="s">
        <v>1772</v>
      </c>
      <c r="F850" t="s">
        <v>1773</v>
      </c>
      <c r="G850" t="s">
        <v>1774</v>
      </c>
    </row>
    <row r="851" spans="1:7" x14ac:dyDescent="0.25">
      <c r="A851">
        <v>8050512004</v>
      </c>
      <c r="B851" t="s">
        <v>1775</v>
      </c>
      <c r="C851" t="str">
        <f>"18023325163162412"</f>
        <v>18023325163162412</v>
      </c>
      <c r="D851" t="s">
        <v>1776</v>
      </c>
      <c r="E851" t="s">
        <v>1777</v>
      </c>
      <c r="F851" t="s">
        <v>1778</v>
      </c>
      <c r="G851" t="s">
        <v>1779</v>
      </c>
    </row>
    <row r="852" spans="1:7" x14ac:dyDescent="0.25">
      <c r="A852">
        <v>8050512004</v>
      </c>
      <c r="B852" t="s">
        <v>1775</v>
      </c>
      <c r="C852" t="str">
        <f>"18023325163162412"</f>
        <v>18023325163162412</v>
      </c>
      <c r="D852" t="s">
        <v>1776</v>
      </c>
      <c r="E852" t="s">
        <v>1777</v>
      </c>
      <c r="F852" t="s">
        <v>1778</v>
      </c>
      <c r="G852" t="s">
        <v>1779</v>
      </c>
    </row>
    <row r="853" spans="1:7" x14ac:dyDescent="0.25">
      <c r="A853">
        <v>8050512004</v>
      </c>
      <c r="B853" t="s">
        <v>1775</v>
      </c>
      <c r="C853" t="str">
        <f>"18023325163162412"</f>
        <v>18023325163162412</v>
      </c>
      <c r="D853" t="s">
        <v>1776</v>
      </c>
      <c r="E853" t="s">
        <v>1777</v>
      </c>
      <c r="F853" t="s">
        <v>1778</v>
      </c>
      <c r="G853" t="s">
        <v>1779</v>
      </c>
    </row>
    <row r="854" spans="1:7" x14ac:dyDescent="0.25">
      <c r="A854">
        <v>4234816839</v>
      </c>
      <c r="B854" t="s">
        <v>1730</v>
      </c>
      <c r="C854" t="str">
        <f>"17864437945190342"</f>
        <v>17864437945190342</v>
      </c>
      <c r="D854" t="s">
        <v>1780</v>
      </c>
      <c r="E854" t="s">
        <v>1781</v>
      </c>
      <c r="F854" t="s">
        <v>1733</v>
      </c>
      <c r="G854" t="s">
        <v>1782</v>
      </c>
    </row>
    <row r="855" spans="1:7" x14ac:dyDescent="0.25">
      <c r="A855">
        <v>4234816839</v>
      </c>
      <c r="B855" t="s">
        <v>1730</v>
      </c>
      <c r="C855" t="str">
        <f>"17864437945190342"</f>
        <v>17864437945190342</v>
      </c>
      <c r="D855" t="s">
        <v>1780</v>
      </c>
      <c r="E855" t="s">
        <v>1781</v>
      </c>
      <c r="F855" t="s">
        <v>1733</v>
      </c>
      <c r="G855" t="s">
        <v>1782</v>
      </c>
    </row>
    <row r="856" spans="1:7" x14ac:dyDescent="0.25">
      <c r="A856">
        <v>4234816839</v>
      </c>
      <c r="B856" t="s">
        <v>1730</v>
      </c>
      <c r="C856" t="str">
        <f>"17864437945190342"</f>
        <v>17864437945190342</v>
      </c>
      <c r="D856" t="s">
        <v>1780</v>
      </c>
      <c r="E856" t="s">
        <v>1781</v>
      </c>
      <c r="F856" t="s">
        <v>1733</v>
      </c>
      <c r="G856" t="s">
        <v>1782</v>
      </c>
    </row>
    <row r="857" spans="1:7" x14ac:dyDescent="0.25">
      <c r="A857">
        <v>1240332461</v>
      </c>
      <c r="B857" t="s">
        <v>1783</v>
      </c>
      <c r="C857" t="str">
        <f>"17866735381131855"</f>
        <v>17866735381131855</v>
      </c>
      <c r="D857" t="s">
        <v>1784</v>
      </c>
      <c r="E857" t="s">
        <v>1785</v>
      </c>
      <c r="F857" t="s">
        <v>1786</v>
      </c>
      <c r="G857" t="s">
        <v>1787</v>
      </c>
    </row>
    <row r="858" spans="1:7" x14ac:dyDescent="0.25">
      <c r="A858">
        <v>1240332461</v>
      </c>
      <c r="B858" t="s">
        <v>1783</v>
      </c>
      <c r="C858" t="str">
        <f>"17866735381131855"</f>
        <v>17866735381131855</v>
      </c>
      <c r="D858" t="s">
        <v>1784</v>
      </c>
      <c r="E858" t="s">
        <v>1785</v>
      </c>
      <c r="F858" t="s">
        <v>1786</v>
      </c>
      <c r="G858" t="s">
        <v>1787</v>
      </c>
    </row>
    <row r="859" spans="1:7" x14ac:dyDescent="0.25">
      <c r="A859">
        <v>4019387068</v>
      </c>
      <c r="B859" t="s">
        <v>1788</v>
      </c>
      <c r="C859" t="str">
        <f>"17849262337198620"</f>
        <v>17849262337198620</v>
      </c>
      <c r="D859" t="s">
        <v>1789</v>
      </c>
      <c r="E859" t="s">
        <v>1790</v>
      </c>
      <c r="F859" t="s">
        <v>1791</v>
      </c>
      <c r="G859" t="s">
        <v>1792</v>
      </c>
    </row>
    <row r="860" spans="1:7" x14ac:dyDescent="0.25">
      <c r="A860">
        <v>4019387068</v>
      </c>
      <c r="B860" t="s">
        <v>1788</v>
      </c>
      <c r="C860" t="str">
        <f>"17849262337198620"</f>
        <v>17849262337198620</v>
      </c>
      <c r="D860" t="s">
        <v>1789</v>
      </c>
      <c r="E860" t="s">
        <v>1790</v>
      </c>
      <c r="F860" t="s">
        <v>1791</v>
      </c>
      <c r="G860" t="s">
        <v>1792</v>
      </c>
    </row>
    <row r="861" spans="1:7" x14ac:dyDescent="0.25">
      <c r="A861">
        <v>3250387992</v>
      </c>
      <c r="B861" t="s">
        <v>797</v>
      </c>
      <c r="C861" t="str">
        <f>"17893581538023830"</f>
        <v>17893581538023830</v>
      </c>
      <c r="D861" t="s">
        <v>23</v>
      </c>
      <c r="E861" t="s">
        <v>1793</v>
      </c>
      <c r="F861" t="s">
        <v>799</v>
      </c>
      <c r="G861" t="s">
        <v>1794</v>
      </c>
    </row>
    <row r="862" spans="1:7" x14ac:dyDescent="0.25">
      <c r="A862">
        <v>4262351440</v>
      </c>
      <c r="B862" t="s">
        <v>1687</v>
      </c>
      <c r="C862" t="str">
        <f>"17876513188088046"</f>
        <v>17876513188088046</v>
      </c>
      <c r="D862" t="s">
        <v>1688</v>
      </c>
      <c r="E862" t="s">
        <v>1795</v>
      </c>
      <c r="F862" t="s">
        <v>1690</v>
      </c>
      <c r="G862" t="s">
        <v>1796</v>
      </c>
    </row>
    <row r="863" spans="1:7" x14ac:dyDescent="0.25">
      <c r="A863">
        <v>3250387992</v>
      </c>
      <c r="B863" t="s">
        <v>797</v>
      </c>
      <c r="C863" t="str">
        <f>"17893581538023830"</f>
        <v>17893581538023830</v>
      </c>
      <c r="D863" t="s">
        <v>23</v>
      </c>
      <c r="E863" t="s">
        <v>1793</v>
      </c>
      <c r="F863" t="s">
        <v>799</v>
      </c>
      <c r="G863" t="s">
        <v>1794</v>
      </c>
    </row>
    <row r="864" spans="1:7" x14ac:dyDescent="0.25">
      <c r="A864">
        <v>4262351440</v>
      </c>
      <c r="B864" t="s">
        <v>1687</v>
      </c>
      <c r="C864" t="str">
        <f>"17876513188088046"</f>
        <v>17876513188088046</v>
      </c>
      <c r="D864" t="s">
        <v>1688</v>
      </c>
      <c r="E864" t="s">
        <v>1795</v>
      </c>
      <c r="F864" t="s">
        <v>1690</v>
      </c>
      <c r="G864" t="s">
        <v>1796</v>
      </c>
    </row>
    <row r="865" spans="1:7" x14ac:dyDescent="0.25">
      <c r="A865">
        <v>419492580</v>
      </c>
      <c r="B865" t="s">
        <v>1797</v>
      </c>
      <c r="C865" t="str">
        <f>"17894017237021947"</f>
        <v>17894017237021947</v>
      </c>
      <c r="D865" t="s">
        <v>1798</v>
      </c>
      <c r="E865" t="s">
        <v>1799</v>
      </c>
      <c r="F865" t="s">
        <v>1800</v>
      </c>
      <c r="G865" t="s">
        <v>1801</v>
      </c>
    </row>
    <row r="866" spans="1:7" x14ac:dyDescent="0.25">
      <c r="A866">
        <v>419492580</v>
      </c>
      <c r="B866" t="s">
        <v>1797</v>
      </c>
      <c r="C866" t="str">
        <f>"17894017237021947"</f>
        <v>17894017237021947</v>
      </c>
      <c r="D866" t="s">
        <v>1798</v>
      </c>
      <c r="E866" t="s">
        <v>1799</v>
      </c>
      <c r="F866" t="s">
        <v>1800</v>
      </c>
      <c r="G866" t="s">
        <v>1801</v>
      </c>
    </row>
    <row r="867" spans="1:7" x14ac:dyDescent="0.25">
      <c r="A867">
        <v>213848703</v>
      </c>
      <c r="B867" t="s">
        <v>1802</v>
      </c>
      <c r="C867" t="str">
        <f>"17892374509037343"</f>
        <v>17892374509037343</v>
      </c>
      <c r="D867" t="s">
        <v>1803</v>
      </c>
      <c r="E867" t="s">
        <v>1804</v>
      </c>
      <c r="F867" t="s">
        <v>1805</v>
      </c>
      <c r="G867" t="s">
        <v>1806</v>
      </c>
    </row>
    <row r="868" spans="1:7" x14ac:dyDescent="0.25">
      <c r="A868">
        <v>213848703</v>
      </c>
      <c r="B868" t="s">
        <v>1802</v>
      </c>
      <c r="C868" t="str">
        <f>"17892374509037343"</f>
        <v>17892374509037343</v>
      </c>
      <c r="D868" t="s">
        <v>1803</v>
      </c>
      <c r="E868" t="s">
        <v>1804</v>
      </c>
      <c r="F868" t="s">
        <v>1805</v>
      </c>
      <c r="G868" t="s">
        <v>1806</v>
      </c>
    </row>
    <row r="869" spans="1:7" x14ac:dyDescent="0.25">
      <c r="A869">
        <v>542808207</v>
      </c>
      <c r="B869" t="s">
        <v>1807</v>
      </c>
      <c r="C869" t="str">
        <f>"17869125583131663"</f>
        <v>17869125583131663</v>
      </c>
      <c r="D869" t="s">
        <v>1808</v>
      </c>
      <c r="E869" t="s">
        <v>1809</v>
      </c>
      <c r="F869" t="s">
        <v>1810</v>
      </c>
      <c r="G869" t="s">
        <v>1811</v>
      </c>
    </row>
    <row r="870" spans="1:7" x14ac:dyDescent="0.25">
      <c r="A870">
        <v>542808207</v>
      </c>
      <c r="B870" t="s">
        <v>1807</v>
      </c>
      <c r="C870" t="str">
        <f>"17869125583131663"</f>
        <v>17869125583131663</v>
      </c>
      <c r="D870" t="s">
        <v>1808</v>
      </c>
      <c r="E870" t="s">
        <v>1809</v>
      </c>
      <c r="F870" t="s">
        <v>1810</v>
      </c>
      <c r="G870" t="s">
        <v>1811</v>
      </c>
    </row>
    <row r="871" spans="1:7" x14ac:dyDescent="0.25">
      <c r="A871">
        <v>542808207</v>
      </c>
      <c r="B871" t="s">
        <v>1807</v>
      </c>
      <c r="C871" t="str">
        <f>"17869125583131663"</f>
        <v>17869125583131663</v>
      </c>
      <c r="D871" t="s">
        <v>1808</v>
      </c>
      <c r="E871" t="s">
        <v>1809</v>
      </c>
      <c r="F871" t="s">
        <v>1810</v>
      </c>
      <c r="G871" t="s">
        <v>1811</v>
      </c>
    </row>
    <row r="872" spans="1:7" x14ac:dyDescent="0.25">
      <c r="A872">
        <v>5444067846</v>
      </c>
      <c r="B872" t="s">
        <v>1812</v>
      </c>
      <c r="C872" t="str">
        <f>"17877317035086950"</f>
        <v>17877317035086950</v>
      </c>
      <c r="D872" t="s">
        <v>1789</v>
      </c>
      <c r="E872" t="s">
        <v>1813</v>
      </c>
      <c r="F872" t="s">
        <v>1814</v>
      </c>
      <c r="G872" t="s">
        <v>1815</v>
      </c>
    </row>
    <row r="873" spans="1:7" x14ac:dyDescent="0.25">
      <c r="A873">
        <v>5444067846</v>
      </c>
      <c r="B873" t="s">
        <v>1812</v>
      </c>
      <c r="C873" t="str">
        <f>"17877317035086950"</f>
        <v>17877317035086950</v>
      </c>
      <c r="D873" t="s">
        <v>1789</v>
      </c>
      <c r="E873" t="s">
        <v>1813</v>
      </c>
      <c r="F873" t="s">
        <v>1814</v>
      </c>
      <c r="G873" t="s">
        <v>1816</v>
      </c>
    </row>
    <row r="874" spans="1:7" x14ac:dyDescent="0.25">
      <c r="A874">
        <v>5444067846</v>
      </c>
      <c r="B874" t="s">
        <v>1812</v>
      </c>
      <c r="C874" t="str">
        <f>"17877317035086950"</f>
        <v>17877317035086950</v>
      </c>
      <c r="D874" t="s">
        <v>1789</v>
      </c>
      <c r="E874" t="s">
        <v>1813</v>
      </c>
      <c r="F874" t="s">
        <v>1814</v>
      </c>
      <c r="G874" t="s">
        <v>1815</v>
      </c>
    </row>
    <row r="875" spans="1:7" x14ac:dyDescent="0.25">
      <c r="A875">
        <v>8669145191</v>
      </c>
      <c r="B875" t="s">
        <v>1817</v>
      </c>
      <c r="C875" t="str">
        <f>"17865741955387103"</f>
        <v>17865741955387103</v>
      </c>
      <c r="D875" t="s">
        <v>13</v>
      </c>
      <c r="E875" t="s">
        <v>1818</v>
      </c>
      <c r="F875" t="s">
        <v>1819</v>
      </c>
      <c r="G875" t="s">
        <v>1820</v>
      </c>
    </row>
    <row r="876" spans="1:7" x14ac:dyDescent="0.25">
      <c r="A876">
        <v>8669145191</v>
      </c>
      <c r="B876" t="s">
        <v>1817</v>
      </c>
      <c r="C876" t="str">
        <f>"17865741955387103"</f>
        <v>17865741955387103</v>
      </c>
      <c r="D876" t="s">
        <v>13</v>
      </c>
      <c r="E876" t="s">
        <v>1818</v>
      </c>
      <c r="F876" t="s">
        <v>1819</v>
      </c>
      <c r="G876" t="s">
        <v>1820</v>
      </c>
    </row>
    <row r="877" spans="1:7" x14ac:dyDescent="0.25">
      <c r="A877">
        <v>228653278</v>
      </c>
      <c r="B877" t="s">
        <v>1821</v>
      </c>
      <c r="C877" t="str">
        <f>"17884999987112509"</f>
        <v>17884999987112509</v>
      </c>
      <c r="D877" t="s">
        <v>779</v>
      </c>
      <c r="E877" t="s">
        <v>1822</v>
      </c>
      <c r="F877" t="s">
        <v>1823</v>
      </c>
      <c r="G877" t="s">
        <v>1824</v>
      </c>
    </row>
    <row r="878" spans="1:7" x14ac:dyDescent="0.25">
      <c r="A878">
        <v>228653278</v>
      </c>
      <c r="B878" t="s">
        <v>1821</v>
      </c>
      <c r="C878" t="str">
        <f>"17884999987112509"</f>
        <v>17884999987112509</v>
      </c>
      <c r="D878" t="s">
        <v>779</v>
      </c>
      <c r="E878" t="s">
        <v>1822</v>
      </c>
      <c r="F878" t="s">
        <v>1823</v>
      </c>
      <c r="G878" t="s">
        <v>1824</v>
      </c>
    </row>
    <row r="879" spans="1:7" x14ac:dyDescent="0.25">
      <c r="A879">
        <v>4482583867</v>
      </c>
      <c r="B879" t="s">
        <v>1825</v>
      </c>
      <c r="C879" t="str">
        <f>"17898531028028421"</f>
        <v>17898531028028421</v>
      </c>
      <c r="D879" t="s">
        <v>1826</v>
      </c>
      <c r="E879" t="s">
        <v>1827</v>
      </c>
      <c r="F879" t="s">
        <v>1828</v>
      </c>
      <c r="G879" t="s">
        <v>1829</v>
      </c>
    </row>
    <row r="880" spans="1:7" x14ac:dyDescent="0.25">
      <c r="A880">
        <v>4482583867</v>
      </c>
      <c r="B880" t="s">
        <v>1825</v>
      </c>
      <c r="C880" t="str">
        <f>"17898531028028421"</f>
        <v>17898531028028421</v>
      </c>
      <c r="D880" t="s">
        <v>1826</v>
      </c>
      <c r="E880" t="s">
        <v>1827</v>
      </c>
      <c r="F880" t="s">
        <v>1828</v>
      </c>
      <c r="G880" t="s">
        <v>1829</v>
      </c>
    </row>
    <row r="881" spans="1:7" x14ac:dyDescent="0.25">
      <c r="A881">
        <v>4482583867</v>
      </c>
      <c r="B881" t="s">
        <v>1825</v>
      </c>
      <c r="C881" t="str">
        <f>"17898531028028421"</f>
        <v>17898531028028421</v>
      </c>
      <c r="D881" t="s">
        <v>1826</v>
      </c>
      <c r="E881" t="s">
        <v>1827</v>
      </c>
      <c r="F881" t="s">
        <v>1828</v>
      </c>
      <c r="G881" t="s">
        <v>1829</v>
      </c>
    </row>
    <row r="882" spans="1:7" x14ac:dyDescent="0.25">
      <c r="A882">
        <v>9508057913</v>
      </c>
      <c r="B882" t="s">
        <v>1830</v>
      </c>
      <c r="C882" t="str">
        <f>"18046544374191995"</f>
        <v>18046544374191995</v>
      </c>
      <c r="D882" t="s">
        <v>1831</v>
      </c>
      <c r="E882" t="s">
        <v>1832</v>
      </c>
      <c r="F882" t="s">
        <v>1833</v>
      </c>
      <c r="G882" t="s">
        <v>1834</v>
      </c>
    </row>
    <row r="883" spans="1:7" x14ac:dyDescent="0.25">
      <c r="A883">
        <v>9508057913</v>
      </c>
      <c r="B883" t="s">
        <v>1830</v>
      </c>
      <c r="C883" t="str">
        <f>"18046544374191995"</f>
        <v>18046544374191995</v>
      </c>
      <c r="D883" t="s">
        <v>1831</v>
      </c>
      <c r="E883" t="s">
        <v>1832</v>
      </c>
      <c r="F883" t="s">
        <v>1833</v>
      </c>
      <c r="G883" t="s">
        <v>1834</v>
      </c>
    </row>
    <row r="884" spans="1:7" x14ac:dyDescent="0.25">
      <c r="A884">
        <v>9508057913</v>
      </c>
      <c r="B884" t="s">
        <v>1830</v>
      </c>
      <c r="C884" t="str">
        <f>"18047312977092311"</f>
        <v>18047312977092311</v>
      </c>
      <c r="D884" t="s">
        <v>1835</v>
      </c>
      <c r="E884" t="s">
        <v>1836</v>
      </c>
      <c r="F884" t="s">
        <v>1833</v>
      </c>
      <c r="G884" t="s">
        <v>1837</v>
      </c>
    </row>
    <row r="885" spans="1:7" x14ac:dyDescent="0.25">
      <c r="A885">
        <v>9508057913</v>
      </c>
      <c r="B885" t="s">
        <v>1830</v>
      </c>
      <c r="C885" t="str">
        <f>"18047312977092311"</f>
        <v>18047312977092311</v>
      </c>
      <c r="D885" t="s">
        <v>1835</v>
      </c>
      <c r="E885" t="s">
        <v>1836</v>
      </c>
      <c r="F885" t="s">
        <v>1833</v>
      </c>
      <c r="G885" t="s">
        <v>1837</v>
      </c>
    </row>
    <row r="886" spans="1:7" x14ac:dyDescent="0.25">
      <c r="A886">
        <v>3613258561</v>
      </c>
      <c r="B886" t="s">
        <v>1838</v>
      </c>
      <c r="C886" t="str">
        <f t="shared" ref="C886:C891" si="0">"17898310102049562"</f>
        <v>17898310102049562</v>
      </c>
      <c r="D886" t="s">
        <v>1839</v>
      </c>
      <c r="E886" t="s">
        <v>1840</v>
      </c>
      <c r="F886" t="s">
        <v>1841</v>
      </c>
      <c r="G886" t="s">
        <v>1842</v>
      </c>
    </row>
    <row r="887" spans="1:7" x14ac:dyDescent="0.25">
      <c r="A887">
        <v>3613258561</v>
      </c>
      <c r="B887" t="s">
        <v>1838</v>
      </c>
      <c r="C887" t="str">
        <f t="shared" si="0"/>
        <v>17898310102049562</v>
      </c>
      <c r="D887" t="s">
        <v>1839</v>
      </c>
      <c r="E887" t="s">
        <v>1840</v>
      </c>
      <c r="F887" t="s">
        <v>1841</v>
      </c>
      <c r="G887" t="s">
        <v>1843</v>
      </c>
    </row>
    <row r="888" spans="1:7" x14ac:dyDescent="0.25">
      <c r="A888">
        <v>3613258561</v>
      </c>
      <c r="B888" t="s">
        <v>1838</v>
      </c>
      <c r="C888" t="str">
        <f t="shared" si="0"/>
        <v>17898310102049562</v>
      </c>
      <c r="D888" t="s">
        <v>1839</v>
      </c>
      <c r="E888" t="s">
        <v>1840</v>
      </c>
      <c r="F888" t="s">
        <v>1841</v>
      </c>
      <c r="G888" t="s">
        <v>1844</v>
      </c>
    </row>
    <row r="889" spans="1:7" x14ac:dyDescent="0.25">
      <c r="A889">
        <v>3613258561</v>
      </c>
      <c r="B889" t="s">
        <v>1838</v>
      </c>
      <c r="C889" t="str">
        <f t="shared" si="0"/>
        <v>17898310102049562</v>
      </c>
      <c r="D889" t="s">
        <v>1839</v>
      </c>
      <c r="E889" t="s">
        <v>1840</v>
      </c>
      <c r="F889" t="s">
        <v>1841</v>
      </c>
      <c r="G889" t="s">
        <v>1844</v>
      </c>
    </row>
    <row r="890" spans="1:7" x14ac:dyDescent="0.25">
      <c r="A890">
        <v>3613258561</v>
      </c>
      <c r="B890" t="s">
        <v>1838</v>
      </c>
      <c r="C890" t="str">
        <f t="shared" si="0"/>
        <v>17898310102049562</v>
      </c>
      <c r="D890" t="s">
        <v>1839</v>
      </c>
      <c r="E890" t="s">
        <v>1840</v>
      </c>
      <c r="F890" t="s">
        <v>1841</v>
      </c>
      <c r="G890" t="s">
        <v>1845</v>
      </c>
    </row>
    <row r="891" spans="1:7" x14ac:dyDescent="0.25">
      <c r="A891">
        <v>3613258561</v>
      </c>
      <c r="B891" t="s">
        <v>1838</v>
      </c>
      <c r="C891" t="str">
        <f t="shared" si="0"/>
        <v>17898310102049562</v>
      </c>
      <c r="D891" t="s">
        <v>1839</v>
      </c>
      <c r="E891" t="s">
        <v>1840</v>
      </c>
      <c r="F891" t="s">
        <v>1841</v>
      </c>
      <c r="G891" t="s">
        <v>1842</v>
      </c>
    </row>
    <row r="892" spans="1:7" x14ac:dyDescent="0.25">
      <c r="A892">
        <v>5495277453</v>
      </c>
      <c r="B892" t="s">
        <v>1846</v>
      </c>
      <c r="C892" t="str">
        <f>"17898986668031757"</f>
        <v>17898986668031757</v>
      </c>
      <c r="D892" t="s">
        <v>1847</v>
      </c>
      <c r="E892" t="s">
        <v>1848</v>
      </c>
      <c r="F892" t="s">
        <v>1849</v>
      </c>
      <c r="G892" t="s">
        <v>1850</v>
      </c>
    </row>
    <row r="893" spans="1:7" x14ac:dyDescent="0.25">
      <c r="A893">
        <v>2985209554</v>
      </c>
      <c r="B893" t="s">
        <v>1851</v>
      </c>
      <c r="C893" t="str">
        <f>"17896273213044947"</f>
        <v>17896273213044947</v>
      </c>
      <c r="D893" t="s">
        <v>1852</v>
      </c>
      <c r="E893" t="s">
        <v>1853</v>
      </c>
      <c r="F893" t="s">
        <v>1854</v>
      </c>
      <c r="G893" t="s">
        <v>1855</v>
      </c>
    </row>
    <row r="894" spans="1:7" x14ac:dyDescent="0.25">
      <c r="A894">
        <v>5710698296</v>
      </c>
      <c r="B894" t="s">
        <v>1856</v>
      </c>
      <c r="C894" t="str">
        <f>"17891339797065542"</f>
        <v>17891339797065542</v>
      </c>
      <c r="D894" t="s">
        <v>1857</v>
      </c>
      <c r="E894" t="s">
        <v>1858</v>
      </c>
      <c r="F894" t="s">
        <v>1859</v>
      </c>
      <c r="G894" t="s">
        <v>1860</v>
      </c>
    </row>
    <row r="895" spans="1:7" x14ac:dyDescent="0.25">
      <c r="A895">
        <v>5495277453</v>
      </c>
      <c r="B895" t="s">
        <v>1846</v>
      </c>
      <c r="C895" t="str">
        <f>"17898986668031757"</f>
        <v>17898986668031757</v>
      </c>
      <c r="D895" t="s">
        <v>1847</v>
      </c>
      <c r="E895" t="s">
        <v>1848</v>
      </c>
      <c r="F895" t="s">
        <v>1849</v>
      </c>
      <c r="G895" t="s">
        <v>1861</v>
      </c>
    </row>
    <row r="896" spans="1:7" x14ac:dyDescent="0.25">
      <c r="A896">
        <v>2985209554</v>
      </c>
      <c r="B896" t="s">
        <v>1851</v>
      </c>
      <c r="C896" t="str">
        <f>"17896273213044947"</f>
        <v>17896273213044947</v>
      </c>
      <c r="D896" t="s">
        <v>1852</v>
      </c>
      <c r="E896" t="s">
        <v>1853</v>
      </c>
      <c r="F896" t="s">
        <v>1854</v>
      </c>
      <c r="G896" t="s">
        <v>1862</v>
      </c>
    </row>
    <row r="897" spans="1:7" x14ac:dyDescent="0.25">
      <c r="A897">
        <v>5710698296</v>
      </c>
      <c r="B897" t="s">
        <v>1856</v>
      </c>
      <c r="C897" t="str">
        <f>"17891339797065542"</f>
        <v>17891339797065542</v>
      </c>
      <c r="D897" t="s">
        <v>1857</v>
      </c>
      <c r="E897" t="s">
        <v>1858</v>
      </c>
      <c r="F897" t="s">
        <v>1859</v>
      </c>
      <c r="G897" t="s">
        <v>1863</v>
      </c>
    </row>
    <row r="898" spans="1:7" x14ac:dyDescent="0.25">
      <c r="A898">
        <v>364386917</v>
      </c>
      <c r="B898" t="s">
        <v>1864</v>
      </c>
      <c r="C898" t="str">
        <f>"18068692804076736"</f>
        <v>18068692804076736</v>
      </c>
      <c r="D898" t="s">
        <v>207</v>
      </c>
      <c r="E898" t="s">
        <v>1865</v>
      </c>
      <c r="F898" t="s">
        <v>1866</v>
      </c>
      <c r="G898" t="s">
        <v>1867</v>
      </c>
    </row>
    <row r="899" spans="1:7" x14ac:dyDescent="0.25">
      <c r="A899">
        <v>364386917</v>
      </c>
      <c r="B899" t="s">
        <v>1864</v>
      </c>
      <c r="C899" t="str">
        <f>"18068692804076736"</f>
        <v>18068692804076736</v>
      </c>
      <c r="D899" t="s">
        <v>207</v>
      </c>
      <c r="E899" t="s">
        <v>1865</v>
      </c>
      <c r="F899" t="s">
        <v>1866</v>
      </c>
      <c r="G899" t="s">
        <v>1867</v>
      </c>
    </row>
    <row r="900" spans="1:7" x14ac:dyDescent="0.25">
      <c r="A900">
        <v>4706011189</v>
      </c>
      <c r="B900" t="s">
        <v>1868</v>
      </c>
      <c r="C900" t="str">
        <f>"17873792065188456"</f>
        <v>17873792065188456</v>
      </c>
      <c r="D900" t="s">
        <v>1869</v>
      </c>
      <c r="E900" t="s">
        <v>1870</v>
      </c>
      <c r="F900" t="s">
        <v>1871</v>
      </c>
      <c r="G900" t="s">
        <v>1872</v>
      </c>
    </row>
    <row r="901" spans="1:7" x14ac:dyDescent="0.25">
      <c r="A901">
        <v>3021005438</v>
      </c>
      <c r="B901" t="s">
        <v>1447</v>
      </c>
      <c r="C901" t="str">
        <f>"17873013211193435"</f>
        <v>17873013211193435</v>
      </c>
      <c r="D901" t="s">
        <v>1383</v>
      </c>
      <c r="E901" t="s">
        <v>1873</v>
      </c>
      <c r="F901" t="s">
        <v>1450</v>
      </c>
      <c r="G901" t="s">
        <v>1874</v>
      </c>
    </row>
    <row r="902" spans="1:7" x14ac:dyDescent="0.25">
      <c r="A902">
        <v>283643100</v>
      </c>
      <c r="B902" t="s">
        <v>1875</v>
      </c>
      <c r="C902" t="str">
        <f>"17888551507101816"</f>
        <v>17888551507101816</v>
      </c>
      <c r="D902" t="s">
        <v>1876</v>
      </c>
      <c r="E902" t="s">
        <v>1877</v>
      </c>
      <c r="F902" t="s">
        <v>1878</v>
      </c>
      <c r="G902" t="s">
        <v>1879</v>
      </c>
    </row>
    <row r="903" spans="1:7" x14ac:dyDescent="0.25">
      <c r="A903">
        <v>4706011189</v>
      </c>
      <c r="B903" t="s">
        <v>1868</v>
      </c>
      <c r="C903" t="str">
        <f>"17873792065188456"</f>
        <v>17873792065188456</v>
      </c>
      <c r="D903" t="s">
        <v>1869</v>
      </c>
      <c r="E903" t="s">
        <v>1870</v>
      </c>
      <c r="F903" t="s">
        <v>1871</v>
      </c>
      <c r="G903" t="s">
        <v>1880</v>
      </c>
    </row>
    <row r="904" spans="1:7" x14ac:dyDescent="0.25">
      <c r="A904">
        <v>3021005438</v>
      </c>
      <c r="B904" t="s">
        <v>1447</v>
      </c>
      <c r="C904" t="str">
        <f>"17873013211193435"</f>
        <v>17873013211193435</v>
      </c>
      <c r="D904" t="s">
        <v>1383</v>
      </c>
      <c r="E904" t="s">
        <v>1873</v>
      </c>
      <c r="F904" t="s">
        <v>1450</v>
      </c>
      <c r="G904" t="s">
        <v>1881</v>
      </c>
    </row>
    <row r="905" spans="1:7" x14ac:dyDescent="0.25">
      <c r="A905">
        <v>283643100</v>
      </c>
      <c r="B905" t="s">
        <v>1875</v>
      </c>
      <c r="C905" t="str">
        <f>"17888551507101816"</f>
        <v>17888551507101816</v>
      </c>
      <c r="D905" t="s">
        <v>1876</v>
      </c>
      <c r="E905" t="s">
        <v>1877</v>
      </c>
      <c r="F905" t="s">
        <v>1878</v>
      </c>
      <c r="G905" t="s">
        <v>1882</v>
      </c>
    </row>
    <row r="906" spans="1:7" x14ac:dyDescent="0.25">
      <c r="A906">
        <v>4706011189</v>
      </c>
      <c r="B906" t="s">
        <v>1868</v>
      </c>
      <c r="C906" t="str">
        <f>"17873792065188456"</f>
        <v>17873792065188456</v>
      </c>
      <c r="D906" t="s">
        <v>1869</v>
      </c>
      <c r="E906" t="s">
        <v>1870</v>
      </c>
      <c r="F906" t="s">
        <v>1871</v>
      </c>
      <c r="G906" t="s">
        <v>1872</v>
      </c>
    </row>
    <row r="907" spans="1:7" x14ac:dyDescent="0.25">
      <c r="A907">
        <v>3021005438</v>
      </c>
      <c r="B907" t="s">
        <v>1447</v>
      </c>
      <c r="C907" t="str">
        <f>"17873013211193435"</f>
        <v>17873013211193435</v>
      </c>
      <c r="D907" t="s">
        <v>1383</v>
      </c>
      <c r="E907" t="s">
        <v>1873</v>
      </c>
      <c r="F907" t="s">
        <v>1450</v>
      </c>
      <c r="G907" t="s">
        <v>1874</v>
      </c>
    </row>
    <row r="908" spans="1:7" x14ac:dyDescent="0.25">
      <c r="A908">
        <v>283643100</v>
      </c>
      <c r="B908" t="s">
        <v>1875</v>
      </c>
      <c r="C908" t="str">
        <f>"17888551507101816"</f>
        <v>17888551507101816</v>
      </c>
      <c r="D908" t="s">
        <v>1876</v>
      </c>
      <c r="E908" t="s">
        <v>1877</v>
      </c>
      <c r="F908" t="s">
        <v>1878</v>
      </c>
      <c r="G908" t="s">
        <v>1879</v>
      </c>
    </row>
    <row r="909" spans="1:7" x14ac:dyDescent="0.25">
      <c r="A909">
        <v>1599892666</v>
      </c>
      <c r="B909" t="s">
        <v>1883</v>
      </c>
      <c r="C909" t="str">
        <f>"17867850745425293"</f>
        <v>17867850745425293</v>
      </c>
      <c r="D909" t="s">
        <v>1884</v>
      </c>
      <c r="E909" t="s">
        <v>1885</v>
      </c>
      <c r="F909" t="s">
        <v>1886</v>
      </c>
      <c r="G909" t="s">
        <v>1887</v>
      </c>
    </row>
    <row r="910" spans="1:7" x14ac:dyDescent="0.25">
      <c r="A910">
        <v>1599892666</v>
      </c>
      <c r="B910" t="s">
        <v>1883</v>
      </c>
      <c r="C910" t="str">
        <f>"17867850745425293"</f>
        <v>17867850745425293</v>
      </c>
      <c r="D910" t="s">
        <v>1884</v>
      </c>
      <c r="E910" t="s">
        <v>1885</v>
      </c>
      <c r="F910" t="s">
        <v>1886</v>
      </c>
      <c r="G910" t="s">
        <v>1887</v>
      </c>
    </row>
    <row r="911" spans="1:7" x14ac:dyDescent="0.25">
      <c r="A911">
        <v>1490131243</v>
      </c>
      <c r="B911" t="s">
        <v>1888</v>
      </c>
      <c r="C911" t="str">
        <f>"17890613704118668"</f>
        <v>17890613704118668</v>
      </c>
      <c r="D911" t="s">
        <v>1889</v>
      </c>
      <c r="E911" t="s">
        <v>1890</v>
      </c>
      <c r="F911" t="s">
        <v>1891</v>
      </c>
      <c r="G911" t="s">
        <v>1892</v>
      </c>
    </row>
    <row r="912" spans="1:7" x14ac:dyDescent="0.25">
      <c r="A912">
        <v>1490131243</v>
      </c>
      <c r="B912" t="s">
        <v>1888</v>
      </c>
      <c r="C912" t="str">
        <f>"17890613704118668"</f>
        <v>17890613704118668</v>
      </c>
      <c r="D912" t="s">
        <v>1889</v>
      </c>
      <c r="E912" t="s">
        <v>1890</v>
      </c>
      <c r="F912" t="s">
        <v>1891</v>
      </c>
      <c r="G912" t="s">
        <v>1892</v>
      </c>
    </row>
    <row r="913" spans="1:7" x14ac:dyDescent="0.25">
      <c r="A913">
        <v>322813235</v>
      </c>
      <c r="B913" t="s">
        <v>1893</v>
      </c>
      <c r="C913" t="str">
        <f>"17903856202052349"</f>
        <v>17903856202052349</v>
      </c>
      <c r="D913" t="s">
        <v>1894</v>
      </c>
      <c r="E913" t="s">
        <v>1895</v>
      </c>
      <c r="F913" t="s">
        <v>1896</v>
      </c>
      <c r="G913" t="s">
        <v>1897</v>
      </c>
    </row>
    <row r="914" spans="1:7" x14ac:dyDescent="0.25">
      <c r="A914">
        <v>322813235</v>
      </c>
      <c r="B914" t="s">
        <v>1893</v>
      </c>
      <c r="C914" t="str">
        <f>"17903856202052349"</f>
        <v>17903856202052349</v>
      </c>
      <c r="D914" t="s">
        <v>1894</v>
      </c>
      <c r="E914" t="s">
        <v>1895</v>
      </c>
      <c r="F914" t="s">
        <v>1896</v>
      </c>
      <c r="G914" t="s">
        <v>1897</v>
      </c>
    </row>
    <row r="915" spans="1:7" x14ac:dyDescent="0.25">
      <c r="A915">
        <v>5605398959</v>
      </c>
      <c r="B915" t="s">
        <v>1898</v>
      </c>
      <c r="C915" t="str">
        <f>"17896871530071776"</f>
        <v>17896871530071776</v>
      </c>
      <c r="D915" t="s">
        <v>406</v>
      </c>
      <c r="E915" t="s">
        <v>1899</v>
      </c>
      <c r="F915" t="s">
        <v>1900</v>
      </c>
      <c r="G915" t="s">
        <v>1901</v>
      </c>
    </row>
    <row r="916" spans="1:7" x14ac:dyDescent="0.25">
      <c r="A916">
        <v>2048334369</v>
      </c>
      <c r="B916" t="s">
        <v>1902</v>
      </c>
      <c r="C916" t="str">
        <f>"17903191270038475"</f>
        <v>17903191270038475</v>
      </c>
      <c r="D916" t="s">
        <v>1166</v>
      </c>
      <c r="E916" t="s">
        <v>1903</v>
      </c>
      <c r="F916" t="s">
        <v>1904</v>
      </c>
      <c r="G916" t="s">
        <v>1905</v>
      </c>
    </row>
    <row r="917" spans="1:7" x14ac:dyDescent="0.25">
      <c r="A917">
        <v>2204024796</v>
      </c>
      <c r="B917" t="s">
        <v>1906</v>
      </c>
      <c r="C917" t="str">
        <f>"18050866303082526"</f>
        <v>18050866303082526</v>
      </c>
      <c r="D917" t="s">
        <v>1907</v>
      </c>
      <c r="E917" t="s">
        <v>1908</v>
      </c>
      <c r="F917" t="s">
        <v>1909</v>
      </c>
      <c r="G917" t="s">
        <v>1910</v>
      </c>
    </row>
    <row r="918" spans="1:7" x14ac:dyDescent="0.25">
      <c r="A918">
        <v>2204024796</v>
      </c>
      <c r="B918" t="s">
        <v>1906</v>
      </c>
      <c r="C918" t="str">
        <f>"18050866303082526"</f>
        <v>18050866303082526</v>
      </c>
      <c r="D918" t="s">
        <v>1907</v>
      </c>
      <c r="E918" t="s">
        <v>1908</v>
      </c>
      <c r="F918" t="s">
        <v>1909</v>
      </c>
      <c r="G918" t="s">
        <v>1911</v>
      </c>
    </row>
    <row r="919" spans="1:7" x14ac:dyDescent="0.25">
      <c r="A919">
        <v>9508057913</v>
      </c>
      <c r="B919" t="s">
        <v>1830</v>
      </c>
      <c r="C919" t="str">
        <f>"18063736039101388"</f>
        <v>18063736039101388</v>
      </c>
      <c r="D919" t="s">
        <v>1912</v>
      </c>
      <c r="E919" t="s">
        <v>1913</v>
      </c>
      <c r="F919" t="s">
        <v>1833</v>
      </c>
      <c r="G919" t="s">
        <v>1914</v>
      </c>
    </row>
    <row r="920" spans="1:7" x14ac:dyDescent="0.25">
      <c r="A920">
        <v>9508057913</v>
      </c>
      <c r="B920" t="s">
        <v>1830</v>
      </c>
      <c r="C920" t="str">
        <f>"18063736039101388"</f>
        <v>18063736039101388</v>
      </c>
      <c r="D920" t="s">
        <v>1912</v>
      </c>
      <c r="E920" t="s">
        <v>1913</v>
      </c>
      <c r="F920" t="s">
        <v>1833</v>
      </c>
      <c r="G920" t="s">
        <v>1914</v>
      </c>
    </row>
    <row r="921" spans="1:7" x14ac:dyDescent="0.25">
      <c r="A921">
        <v>281736232</v>
      </c>
      <c r="B921" t="s">
        <v>1915</v>
      </c>
      <c r="C921" t="str">
        <f>"17877641533134144"</f>
        <v>17877641533134144</v>
      </c>
      <c r="D921" t="s">
        <v>23</v>
      </c>
      <c r="E921" t="s">
        <v>1916</v>
      </c>
      <c r="F921" t="s">
        <v>1917</v>
      </c>
      <c r="G921" t="s">
        <v>1918</v>
      </c>
    </row>
    <row r="922" spans="1:7" x14ac:dyDescent="0.25">
      <c r="A922">
        <v>1691969795</v>
      </c>
      <c r="B922" t="s">
        <v>1919</v>
      </c>
      <c r="C922" t="str">
        <f>"17902575133035069"</f>
        <v>17902575133035069</v>
      </c>
      <c r="D922" t="s">
        <v>111</v>
      </c>
      <c r="E922" t="s">
        <v>1920</v>
      </c>
      <c r="F922" t="s">
        <v>1921</v>
      </c>
      <c r="G922" t="s">
        <v>1922</v>
      </c>
    </row>
    <row r="923" spans="1:7" x14ac:dyDescent="0.25">
      <c r="A923">
        <v>281736232</v>
      </c>
      <c r="B923" t="s">
        <v>1915</v>
      </c>
      <c r="C923" t="str">
        <f>"17877641533134144"</f>
        <v>17877641533134144</v>
      </c>
      <c r="D923" t="s">
        <v>23</v>
      </c>
      <c r="E923" t="s">
        <v>1916</v>
      </c>
      <c r="F923" t="s">
        <v>1917</v>
      </c>
      <c r="G923" t="s">
        <v>1918</v>
      </c>
    </row>
    <row r="924" spans="1:7" x14ac:dyDescent="0.25">
      <c r="A924">
        <v>1691969795</v>
      </c>
      <c r="B924" t="s">
        <v>1919</v>
      </c>
      <c r="C924" t="str">
        <f>"17902575133035069"</f>
        <v>17902575133035069</v>
      </c>
      <c r="D924" t="s">
        <v>111</v>
      </c>
      <c r="E924" t="s">
        <v>1920</v>
      </c>
      <c r="F924" t="s">
        <v>1921</v>
      </c>
      <c r="G924" t="s">
        <v>1922</v>
      </c>
    </row>
    <row r="925" spans="1:7" x14ac:dyDescent="0.25">
      <c r="A925">
        <v>281736232</v>
      </c>
      <c r="B925" t="s">
        <v>1915</v>
      </c>
      <c r="C925" t="str">
        <f>"17877641533134144"</f>
        <v>17877641533134144</v>
      </c>
      <c r="D925" t="s">
        <v>23</v>
      </c>
      <c r="E925" t="s">
        <v>1916</v>
      </c>
      <c r="F925" t="s">
        <v>1917</v>
      </c>
      <c r="G925" t="s">
        <v>1918</v>
      </c>
    </row>
    <row r="926" spans="1:7" x14ac:dyDescent="0.25">
      <c r="A926">
        <v>1691969795</v>
      </c>
      <c r="B926" t="s">
        <v>1919</v>
      </c>
      <c r="C926" t="str">
        <f>"17902575133035069"</f>
        <v>17902575133035069</v>
      </c>
      <c r="D926" t="s">
        <v>111</v>
      </c>
      <c r="E926" t="s">
        <v>1920</v>
      </c>
      <c r="F926" t="s">
        <v>1921</v>
      </c>
      <c r="G926" t="s">
        <v>1922</v>
      </c>
    </row>
    <row r="927" spans="1:7" x14ac:dyDescent="0.25">
      <c r="A927">
        <v>231961865</v>
      </c>
      <c r="B927" t="s">
        <v>1923</v>
      </c>
      <c r="C927" t="str">
        <f>"17887063933368722"</f>
        <v>17887063933368722</v>
      </c>
      <c r="D927" t="s">
        <v>1924</v>
      </c>
      <c r="E927" t="s">
        <v>1925</v>
      </c>
      <c r="F927" t="s">
        <v>1926</v>
      </c>
      <c r="G927" t="s">
        <v>1927</v>
      </c>
    </row>
    <row r="928" spans="1:7" x14ac:dyDescent="0.25">
      <c r="A928">
        <v>231961865</v>
      </c>
      <c r="B928" t="s">
        <v>1923</v>
      </c>
      <c r="C928" t="str">
        <f>"17887063933368722"</f>
        <v>17887063933368722</v>
      </c>
      <c r="D928" t="s">
        <v>1924</v>
      </c>
      <c r="E928" t="s">
        <v>1925</v>
      </c>
      <c r="F928" t="s">
        <v>1926</v>
      </c>
      <c r="G928" t="s">
        <v>1927</v>
      </c>
    </row>
    <row r="929" spans="1:7" x14ac:dyDescent="0.25">
      <c r="A929">
        <v>2773298476</v>
      </c>
      <c r="B929" t="s">
        <v>1928</v>
      </c>
      <c r="C929" t="str">
        <f>"17876741248138482"</f>
        <v>17876741248138482</v>
      </c>
      <c r="D929" t="s">
        <v>1929</v>
      </c>
      <c r="E929" t="s">
        <v>1930</v>
      </c>
      <c r="F929" t="s">
        <v>1931</v>
      </c>
      <c r="G929" t="s">
        <v>1932</v>
      </c>
    </row>
    <row r="930" spans="1:7" x14ac:dyDescent="0.25">
      <c r="A930">
        <v>2773298476</v>
      </c>
      <c r="B930" t="s">
        <v>1928</v>
      </c>
      <c r="C930" t="str">
        <f>"17876741248138482"</f>
        <v>17876741248138482</v>
      </c>
      <c r="D930" t="s">
        <v>1929</v>
      </c>
      <c r="E930" t="s">
        <v>1930</v>
      </c>
      <c r="F930" t="s">
        <v>1931</v>
      </c>
      <c r="G930" t="s">
        <v>1932</v>
      </c>
    </row>
    <row r="931" spans="1:7" x14ac:dyDescent="0.25">
      <c r="A931">
        <v>2321965364</v>
      </c>
      <c r="B931" t="s">
        <v>1933</v>
      </c>
      <c r="C931" t="str">
        <f>"17862499870820846"</f>
        <v>17862499870820846</v>
      </c>
      <c r="D931" t="s">
        <v>1934</v>
      </c>
      <c r="E931" t="s">
        <v>1935</v>
      </c>
      <c r="F931" t="s">
        <v>1936</v>
      </c>
      <c r="G931" t="s">
        <v>1937</v>
      </c>
    </row>
    <row r="932" spans="1:7" x14ac:dyDescent="0.25">
      <c r="A932">
        <v>2321965364</v>
      </c>
      <c r="B932" t="s">
        <v>1933</v>
      </c>
      <c r="C932" t="str">
        <f>"17862499870820846"</f>
        <v>17862499870820846</v>
      </c>
      <c r="D932" t="s">
        <v>1934</v>
      </c>
      <c r="E932" t="s">
        <v>1935</v>
      </c>
      <c r="F932" t="s">
        <v>1936</v>
      </c>
      <c r="G932" t="s">
        <v>1938</v>
      </c>
    </row>
    <row r="933" spans="1:7" x14ac:dyDescent="0.25">
      <c r="A933">
        <v>3677979934</v>
      </c>
      <c r="B933" t="s">
        <v>430</v>
      </c>
      <c r="C933" t="str">
        <f>"18066712906205261"</f>
        <v>18066712906205261</v>
      </c>
      <c r="D933" t="s">
        <v>1939</v>
      </c>
      <c r="E933" t="s">
        <v>1940</v>
      </c>
      <c r="F933" t="s">
        <v>433</v>
      </c>
      <c r="G933" t="s">
        <v>1941</v>
      </c>
    </row>
    <row r="934" spans="1:7" x14ac:dyDescent="0.25">
      <c r="A934">
        <v>3677979934</v>
      </c>
      <c r="B934" t="s">
        <v>430</v>
      </c>
      <c r="C934" t="str">
        <f>"18066712906205261"</f>
        <v>18066712906205261</v>
      </c>
      <c r="D934" t="s">
        <v>1939</v>
      </c>
      <c r="E934" t="s">
        <v>1940</v>
      </c>
      <c r="F934" t="s">
        <v>433</v>
      </c>
      <c r="G934" t="s">
        <v>1942</v>
      </c>
    </row>
    <row r="935" spans="1:7" x14ac:dyDescent="0.25">
      <c r="A935">
        <v>3677979934</v>
      </c>
      <c r="B935" t="s">
        <v>430</v>
      </c>
      <c r="C935" t="str">
        <f>"18066712906205261"</f>
        <v>18066712906205261</v>
      </c>
      <c r="D935" t="s">
        <v>1939</v>
      </c>
      <c r="E935" t="s">
        <v>1940</v>
      </c>
      <c r="F935" t="s">
        <v>433</v>
      </c>
      <c r="G935" t="s">
        <v>1941</v>
      </c>
    </row>
    <row r="936" spans="1:7" x14ac:dyDescent="0.25">
      <c r="A936">
        <v>295307078</v>
      </c>
      <c r="B936" t="s">
        <v>1943</v>
      </c>
      <c r="C936" t="str">
        <f>"17850963072255016"</f>
        <v>17850963072255016</v>
      </c>
      <c r="D936" t="s">
        <v>1944</v>
      </c>
      <c r="E936" t="s">
        <v>1945</v>
      </c>
      <c r="F936" t="s">
        <v>1946</v>
      </c>
      <c r="G936" t="s">
        <v>1947</v>
      </c>
    </row>
    <row r="937" spans="1:7" x14ac:dyDescent="0.25">
      <c r="A937">
        <v>265061399</v>
      </c>
      <c r="B937" t="s">
        <v>1948</v>
      </c>
      <c r="C937" t="str">
        <f>"17997202790649245"</f>
        <v>17997202790649245</v>
      </c>
      <c r="D937" t="s">
        <v>1949</v>
      </c>
      <c r="E937" t="s">
        <v>1950</v>
      </c>
      <c r="F937" t="s">
        <v>1951</v>
      </c>
      <c r="G937" t="s">
        <v>1952</v>
      </c>
    </row>
    <row r="938" spans="1:7" x14ac:dyDescent="0.25">
      <c r="A938">
        <v>303035044</v>
      </c>
      <c r="B938" t="s">
        <v>1953</v>
      </c>
      <c r="C938" t="str">
        <f>"18027432596251594"</f>
        <v>18027432596251594</v>
      </c>
      <c r="D938" t="s">
        <v>1954</v>
      </c>
      <c r="E938" t="s">
        <v>1955</v>
      </c>
      <c r="F938" t="s">
        <v>1956</v>
      </c>
      <c r="G938" t="s">
        <v>1957</v>
      </c>
    </row>
    <row r="939" spans="1:7" x14ac:dyDescent="0.25">
      <c r="A939">
        <v>265061399</v>
      </c>
      <c r="B939" t="s">
        <v>1948</v>
      </c>
      <c r="C939" t="str">
        <f>"17997202790649245"</f>
        <v>17997202790649245</v>
      </c>
      <c r="D939" t="s">
        <v>1949</v>
      </c>
      <c r="E939" t="s">
        <v>1950</v>
      </c>
      <c r="F939" t="s">
        <v>1951</v>
      </c>
      <c r="G939" t="s">
        <v>1952</v>
      </c>
    </row>
    <row r="940" spans="1:7" x14ac:dyDescent="0.25">
      <c r="A940">
        <v>303035044</v>
      </c>
      <c r="B940" t="s">
        <v>1953</v>
      </c>
      <c r="C940" t="str">
        <f>"18027432596251594"</f>
        <v>18027432596251594</v>
      </c>
      <c r="D940" t="s">
        <v>1954</v>
      </c>
      <c r="E940" t="s">
        <v>1955</v>
      </c>
      <c r="F940" t="s">
        <v>1956</v>
      </c>
      <c r="G940" t="s">
        <v>1957</v>
      </c>
    </row>
    <row r="941" spans="1:7" x14ac:dyDescent="0.25">
      <c r="A941">
        <v>585162512</v>
      </c>
      <c r="B941" t="s">
        <v>1958</v>
      </c>
      <c r="C941" t="str">
        <f>"17990611997593626"</f>
        <v>17990611997593626</v>
      </c>
      <c r="D941" t="s">
        <v>759</v>
      </c>
      <c r="E941" t="s">
        <v>1959</v>
      </c>
      <c r="F941" t="s">
        <v>1960</v>
      </c>
      <c r="G941" t="s">
        <v>1961</v>
      </c>
    </row>
    <row r="942" spans="1:7" x14ac:dyDescent="0.25">
      <c r="A942">
        <v>471192287</v>
      </c>
      <c r="B942" t="s">
        <v>1962</v>
      </c>
      <c r="C942" t="str">
        <f>"18089673247403651"</f>
        <v>18089673247403651</v>
      </c>
      <c r="D942" t="s">
        <v>1963</v>
      </c>
      <c r="E942" t="s">
        <v>1964</v>
      </c>
      <c r="F942" t="s">
        <v>1965</v>
      </c>
      <c r="G942" t="s">
        <v>1966</v>
      </c>
    </row>
    <row r="943" spans="1:7" x14ac:dyDescent="0.25">
      <c r="A943">
        <v>4130199</v>
      </c>
      <c r="B943" t="s">
        <v>1967</v>
      </c>
      <c r="C943" t="str">
        <f>"18106785598363286"</f>
        <v>18106785598363286</v>
      </c>
      <c r="D943" t="s">
        <v>1968</v>
      </c>
      <c r="E943" t="s">
        <v>1969</v>
      </c>
      <c r="F943" t="s">
        <v>1970</v>
      </c>
      <c r="G943" t="s">
        <v>1971</v>
      </c>
    </row>
    <row r="944" spans="1:7" x14ac:dyDescent="0.25">
      <c r="A944">
        <v>5624229336</v>
      </c>
      <c r="B944" t="s">
        <v>1972</v>
      </c>
      <c r="C944" t="str">
        <f>"17979108608507891"</f>
        <v>17979108608507891</v>
      </c>
      <c r="D944" t="s">
        <v>1973</v>
      </c>
      <c r="E944" t="s">
        <v>1974</v>
      </c>
      <c r="F944" t="s">
        <v>1975</v>
      </c>
      <c r="G944" t="s">
        <v>1976</v>
      </c>
    </row>
    <row r="945" spans="1:7" x14ac:dyDescent="0.25">
      <c r="A945">
        <v>5624229336</v>
      </c>
      <c r="B945" t="s">
        <v>1972</v>
      </c>
      <c r="C945" t="str">
        <f>"18397079569068402"</f>
        <v>18397079569068402</v>
      </c>
      <c r="D945" t="s">
        <v>1977</v>
      </c>
      <c r="E945" t="s">
        <v>1978</v>
      </c>
      <c r="F945" t="s">
        <v>1975</v>
      </c>
      <c r="G945" t="s">
        <v>1976</v>
      </c>
    </row>
    <row r="946" spans="1:7" x14ac:dyDescent="0.25">
      <c r="A946">
        <v>7776975591</v>
      </c>
      <c r="B946" t="s">
        <v>1979</v>
      </c>
      <c r="C946" t="str">
        <f>"18082768687419744"</f>
        <v>18082768687419744</v>
      </c>
      <c r="D946" t="s">
        <v>1980</v>
      </c>
      <c r="E946" t="s">
        <v>1981</v>
      </c>
      <c r="F946" t="s">
        <v>1982</v>
      </c>
      <c r="G946" t="s">
        <v>1983</v>
      </c>
    </row>
    <row r="947" spans="1:7" x14ac:dyDescent="0.25">
      <c r="A947">
        <v>3677979934</v>
      </c>
      <c r="B947" t="s">
        <v>430</v>
      </c>
      <c r="C947" t="str">
        <f>"17897986592914860"</f>
        <v>17897986592914860</v>
      </c>
      <c r="D947" t="s">
        <v>1748</v>
      </c>
      <c r="E947" t="s">
        <v>1984</v>
      </c>
      <c r="F947" t="s">
        <v>433</v>
      </c>
      <c r="G947" t="s">
        <v>1985</v>
      </c>
    </row>
    <row r="948" spans="1:7" x14ac:dyDescent="0.25">
      <c r="A948">
        <v>214081712</v>
      </c>
      <c r="B948" t="s">
        <v>1986</v>
      </c>
      <c r="C948" t="str">
        <f>"17976865601701699"</f>
        <v>17976865601701699</v>
      </c>
      <c r="D948" t="s">
        <v>1987</v>
      </c>
      <c r="E948" t="s">
        <v>1988</v>
      </c>
      <c r="F948" t="s">
        <v>1989</v>
      </c>
      <c r="G948" t="s">
        <v>1990</v>
      </c>
    </row>
    <row r="949" spans="1:7" x14ac:dyDescent="0.25">
      <c r="A949">
        <v>9496682955</v>
      </c>
      <c r="B949" t="s">
        <v>1991</v>
      </c>
      <c r="C949" t="str">
        <f>"18019257017230939"</f>
        <v>18019257017230939</v>
      </c>
      <c r="D949" t="s">
        <v>1992</v>
      </c>
      <c r="E949" t="s">
        <v>1993</v>
      </c>
      <c r="F949" t="s">
        <v>1994</v>
      </c>
      <c r="G949" t="s">
        <v>1995</v>
      </c>
    </row>
    <row r="950" spans="1:7" x14ac:dyDescent="0.25">
      <c r="A950">
        <v>41244797857</v>
      </c>
      <c r="B950" t="s">
        <v>1996</v>
      </c>
      <c r="C950" t="str">
        <f>"18297809026081116"</f>
        <v>18297809026081116</v>
      </c>
      <c r="D950" t="s">
        <v>1997</v>
      </c>
      <c r="E950" t="s">
        <v>1998</v>
      </c>
      <c r="F950" t="s">
        <v>1999</v>
      </c>
      <c r="G950" t="s">
        <v>2000</v>
      </c>
    </row>
    <row r="951" spans="1:7" x14ac:dyDescent="0.25">
      <c r="A951">
        <v>9496682955</v>
      </c>
      <c r="B951" t="s">
        <v>1991</v>
      </c>
      <c r="C951" t="str">
        <f>"18019257017230939"</f>
        <v>18019257017230939</v>
      </c>
      <c r="D951" t="s">
        <v>1992</v>
      </c>
      <c r="E951" t="s">
        <v>1993</v>
      </c>
      <c r="F951" t="s">
        <v>1994</v>
      </c>
      <c r="G951" t="s">
        <v>1995</v>
      </c>
    </row>
    <row r="952" spans="1:7" x14ac:dyDescent="0.25">
      <c r="A952">
        <v>41244797857</v>
      </c>
      <c r="B952" t="s">
        <v>1996</v>
      </c>
      <c r="C952" t="str">
        <f>"18297809026081116"</f>
        <v>18297809026081116</v>
      </c>
      <c r="D952" t="s">
        <v>1997</v>
      </c>
      <c r="E952" t="s">
        <v>1998</v>
      </c>
      <c r="F952" t="s">
        <v>1999</v>
      </c>
      <c r="G952" t="s">
        <v>2000</v>
      </c>
    </row>
    <row r="953" spans="1:7" x14ac:dyDescent="0.25">
      <c r="A953">
        <v>9496682955</v>
      </c>
      <c r="B953" t="s">
        <v>1991</v>
      </c>
      <c r="C953" t="str">
        <f>"18019257017230939"</f>
        <v>18019257017230939</v>
      </c>
      <c r="D953" t="s">
        <v>1992</v>
      </c>
      <c r="E953" t="s">
        <v>1993</v>
      </c>
      <c r="F953" t="s">
        <v>1994</v>
      </c>
      <c r="G953" t="s">
        <v>1995</v>
      </c>
    </row>
    <row r="954" spans="1:7" x14ac:dyDescent="0.25">
      <c r="A954">
        <v>41244797857</v>
      </c>
      <c r="B954" t="s">
        <v>1996</v>
      </c>
      <c r="C954" t="str">
        <f>"18297809026081116"</f>
        <v>18297809026081116</v>
      </c>
      <c r="D954" t="s">
        <v>1997</v>
      </c>
      <c r="E954" t="s">
        <v>1998</v>
      </c>
      <c r="F954" t="s">
        <v>1999</v>
      </c>
      <c r="G954" t="s">
        <v>2000</v>
      </c>
    </row>
    <row r="955" spans="1:7" x14ac:dyDescent="0.25">
      <c r="A955">
        <v>2043345157</v>
      </c>
      <c r="B955" t="s">
        <v>2001</v>
      </c>
      <c r="C955" t="str">
        <f>"18341562412108742"</f>
        <v>18341562412108742</v>
      </c>
      <c r="D955" t="s">
        <v>2002</v>
      </c>
      <c r="E955" t="s">
        <v>2003</v>
      </c>
      <c r="F955" t="s">
        <v>2004</v>
      </c>
      <c r="G955" t="s">
        <v>2005</v>
      </c>
    </row>
    <row r="956" spans="1:7" x14ac:dyDescent="0.25">
      <c r="A956">
        <v>265463501</v>
      </c>
      <c r="B956" t="s">
        <v>2006</v>
      </c>
      <c r="C956" t="str">
        <f>"17979481592674694"</f>
        <v>17979481592674694</v>
      </c>
      <c r="D956" t="s">
        <v>2007</v>
      </c>
      <c r="E956" t="s">
        <v>2008</v>
      </c>
      <c r="F956" t="s">
        <v>2009</v>
      </c>
      <c r="G956" t="s">
        <v>2010</v>
      </c>
    </row>
    <row r="957" spans="1:7" x14ac:dyDescent="0.25">
      <c r="A957">
        <v>861820871</v>
      </c>
      <c r="B957" t="s">
        <v>2011</v>
      </c>
      <c r="C957" t="str">
        <f>"18022704626506030"</f>
        <v>18022704626506030</v>
      </c>
      <c r="D957" t="s">
        <v>2012</v>
      </c>
      <c r="E957" t="s">
        <v>2013</v>
      </c>
      <c r="F957" t="s">
        <v>2014</v>
      </c>
      <c r="G957" t="s">
        <v>2015</v>
      </c>
    </row>
    <row r="958" spans="1:7" x14ac:dyDescent="0.25">
      <c r="A958">
        <v>2043345157</v>
      </c>
      <c r="B958" t="s">
        <v>2001</v>
      </c>
      <c r="C958" t="str">
        <f>"18341562412108742"</f>
        <v>18341562412108742</v>
      </c>
      <c r="D958" t="s">
        <v>2002</v>
      </c>
      <c r="E958" t="s">
        <v>2003</v>
      </c>
      <c r="F958" t="s">
        <v>2004</v>
      </c>
      <c r="G958" t="s">
        <v>2005</v>
      </c>
    </row>
    <row r="959" spans="1:7" x14ac:dyDescent="0.25">
      <c r="A959">
        <v>265463501</v>
      </c>
      <c r="B959" t="s">
        <v>2006</v>
      </c>
      <c r="C959" t="str">
        <f>"17979481592674694"</f>
        <v>17979481592674694</v>
      </c>
      <c r="D959" t="s">
        <v>2007</v>
      </c>
      <c r="E959" t="s">
        <v>2008</v>
      </c>
      <c r="F959" t="s">
        <v>2009</v>
      </c>
      <c r="G959" t="s">
        <v>2010</v>
      </c>
    </row>
    <row r="960" spans="1:7" x14ac:dyDescent="0.25">
      <c r="A960">
        <v>861820871</v>
      </c>
      <c r="B960" t="s">
        <v>2011</v>
      </c>
      <c r="C960" t="str">
        <f>"18022704626506030"</f>
        <v>18022704626506030</v>
      </c>
      <c r="D960" t="s">
        <v>2012</v>
      </c>
      <c r="E960" t="s">
        <v>2013</v>
      </c>
      <c r="F960" t="s">
        <v>2014</v>
      </c>
      <c r="G960" t="s">
        <v>2015</v>
      </c>
    </row>
    <row r="961" spans="1:7" x14ac:dyDescent="0.25">
      <c r="A961">
        <v>8442876260</v>
      </c>
      <c r="B961" t="s">
        <v>2016</v>
      </c>
      <c r="C961" t="str">
        <f>"18101606287393078"</f>
        <v>18101606287393078</v>
      </c>
      <c r="D961" t="s">
        <v>1954</v>
      </c>
      <c r="E961" t="s">
        <v>2017</v>
      </c>
      <c r="F961" t="s">
        <v>2018</v>
      </c>
      <c r="G961" t="s">
        <v>2019</v>
      </c>
    </row>
    <row r="962" spans="1:7" x14ac:dyDescent="0.25">
      <c r="A962">
        <v>1549494501</v>
      </c>
      <c r="B962" t="s">
        <v>527</v>
      </c>
      <c r="C962" t="str">
        <f>"18023532967958211"</f>
        <v>18023532967958211</v>
      </c>
      <c r="D962" t="s">
        <v>2020</v>
      </c>
      <c r="E962" t="s">
        <v>2021</v>
      </c>
      <c r="F962" t="s">
        <v>530</v>
      </c>
      <c r="G962" t="s">
        <v>2022</v>
      </c>
    </row>
    <row r="963" spans="1:7" x14ac:dyDescent="0.25">
      <c r="A963">
        <v>8102223953</v>
      </c>
      <c r="B963" t="s">
        <v>2023</v>
      </c>
      <c r="C963" t="str">
        <f>"18057180163601939"</f>
        <v>18057180163601939</v>
      </c>
      <c r="D963" t="s">
        <v>2024</v>
      </c>
      <c r="E963" t="s">
        <v>2025</v>
      </c>
      <c r="F963" t="s">
        <v>2026</v>
      </c>
      <c r="G963" t="s">
        <v>2027</v>
      </c>
    </row>
    <row r="964" spans="1:7" x14ac:dyDescent="0.25">
      <c r="A964">
        <v>1549494501</v>
      </c>
      <c r="B964" t="s">
        <v>527</v>
      </c>
      <c r="C964" t="str">
        <f>"18023532967958211"</f>
        <v>18023532967958211</v>
      </c>
      <c r="D964" t="s">
        <v>2020</v>
      </c>
      <c r="E964" t="s">
        <v>2021</v>
      </c>
      <c r="F964" t="s">
        <v>530</v>
      </c>
      <c r="G964" t="s">
        <v>2022</v>
      </c>
    </row>
    <row r="965" spans="1:7" x14ac:dyDescent="0.25">
      <c r="A965">
        <v>8102223953</v>
      </c>
      <c r="B965" t="s">
        <v>2023</v>
      </c>
      <c r="C965" t="str">
        <f>"18057180163601939"</f>
        <v>18057180163601939</v>
      </c>
      <c r="D965" t="s">
        <v>2024</v>
      </c>
      <c r="E965" t="s">
        <v>2025</v>
      </c>
      <c r="F965" t="s">
        <v>2026</v>
      </c>
      <c r="G965" t="s">
        <v>2027</v>
      </c>
    </row>
    <row r="966" spans="1:7" x14ac:dyDescent="0.25">
      <c r="A966">
        <v>1549494501</v>
      </c>
      <c r="B966" t="s">
        <v>527</v>
      </c>
      <c r="C966" t="str">
        <f>"18023532967958211"</f>
        <v>18023532967958211</v>
      </c>
      <c r="D966" t="s">
        <v>2020</v>
      </c>
      <c r="E966" t="s">
        <v>2021</v>
      </c>
      <c r="F966" t="s">
        <v>530</v>
      </c>
      <c r="G966" t="s">
        <v>2022</v>
      </c>
    </row>
    <row r="967" spans="1:7" x14ac:dyDescent="0.25">
      <c r="A967">
        <v>8102223953</v>
      </c>
      <c r="B967" t="s">
        <v>2023</v>
      </c>
      <c r="C967" t="str">
        <f>"18057180163601939"</f>
        <v>18057180163601939</v>
      </c>
      <c r="D967" t="s">
        <v>2024</v>
      </c>
      <c r="E967" t="s">
        <v>2025</v>
      </c>
      <c r="F967" t="s">
        <v>2026</v>
      </c>
      <c r="G967" t="s">
        <v>2027</v>
      </c>
    </row>
    <row r="968" spans="1:7" x14ac:dyDescent="0.25">
      <c r="A968">
        <v>1939490468</v>
      </c>
      <c r="B968" t="s">
        <v>2028</v>
      </c>
      <c r="C968" t="str">
        <f>"17906272817882830"</f>
        <v>17906272817882830</v>
      </c>
      <c r="D968" t="s">
        <v>1944</v>
      </c>
      <c r="E968" t="s">
        <v>2029</v>
      </c>
      <c r="F968" t="s">
        <v>2030</v>
      </c>
      <c r="G968" t="s">
        <v>2031</v>
      </c>
    </row>
    <row r="969" spans="1:7" x14ac:dyDescent="0.25">
      <c r="A969">
        <v>269132185</v>
      </c>
      <c r="B969" t="s">
        <v>2032</v>
      </c>
      <c r="C969" t="str">
        <f>"17842979406248534"</f>
        <v>17842979406248534</v>
      </c>
      <c r="D969" t="s">
        <v>2033</v>
      </c>
      <c r="E969" t="s">
        <v>2034</v>
      </c>
      <c r="F969" t="s">
        <v>2035</v>
      </c>
      <c r="G969" t="s">
        <v>2036</v>
      </c>
    </row>
    <row r="970" spans="1:7" x14ac:dyDescent="0.25">
      <c r="A970">
        <v>1549494501</v>
      </c>
      <c r="B970" t="s">
        <v>527</v>
      </c>
      <c r="C970" t="str">
        <f>"18031166291016369"</f>
        <v>18031166291016369</v>
      </c>
      <c r="D970" t="s">
        <v>2037</v>
      </c>
      <c r="E970" t="s">
        <v>2038</v>
      </c>
      <c r="F970" t="s">
        <v>530</v>
      </c>
      <c r="G970" t="s">
        <v>2039</v>
      </c>
    </row>
    <row r="971" spans="1:7" x14ac:dyDescent="0.25">
      <c r="A971">
        <v>269132185</v>
      </c>
      <c r="B971" t="s">
        <v>2032</v>
      </c>
      <c r="C971" t="str">
        <f>"17842979406248534"</f>
        <v>17842979406248534</v>
      </c>
      <c r="D971" t="s">
        <v>2033</v>
      </c>
      <c r="E971" t="s">
        <v>2034</v>
      </c>
      <c r="F971" t="s">
        <v>2035</v>
      </c>
      <c r="G971" t="s">
        <v>2036</v>
      </c>
    </row>
    <row r="972" spans="1:7" x14ac:dyDescent="0.25">
      <c r="A972">
        <v>1549494501</v>
      </c>
      <c r="B972" t="s">
        <v>527</v>
      </c>
      <c r="C972" t="str">
        <f>"18031166291016369"</f>
        <v>18031166291016369</v>
      </c>
      <c r="D972" t="s">
        <v>2037</v>
      </c>
      <c r="E972" t="s">
        <v>2038</v>
      </c>
      <c r="F972" t="s">
        <v>530</v>
      </c>
      <c r="G972" t="s">
        <v>2039</v>
      </c>
    </row>
    <row r="973" spans="1:7" x14ac:dyDescent="0.25">
      <c r="A973">
        <v>1549494501</v>
      </c>
      <c r="B973" t="s">
        <v>527</v>
      </c>
      <c r="C973" t="str">
        <f>"18449194018000611"</f>
        <v>18449194018000611</v>
      </c>
      <c r="D973" t="s">
        <v>2040</v>
      </c>
      <c r="E973" t="s">
        <v>2041</v>
      </c>
      <c r="F973" t="s">
        <v>530</v>
      </c>
      <c r="G973" t="s">
        <v>2042</v>
      </c>
    </row>
    <row r="974" spans="1:7" x14ac:dyDescent="0.25">
      <c r="A974">
        <v>7011217606</v>
      </c>
      <c r="B974" t="s">
        <v>2043</v>
      </c>
      <c r="C974" t="str">
        <f>"17855192348006057"</f>
        <v>17855192348006057</v>
      </c>
      <c r="D974" t="s">
        <v>2044</v>
      </c>
      <c r="E974" t="s">
        <v>2045</v>
      </c>
      <c r="F974" t="s">
        <v>2046</v>
      </c>
      <c r="G974" t="s">
        <v>2047</v>
      </c>
    </row>
    <row r="975" spans="1:7" x14ac:dyDescent="0.25">
      <c r="A975">
        <v>7011217606</v>
      </c>
      <c r="B975" t="s">
        <v>2043</v>
      </c>
      <c r="C975" t="str">
        <f>"18107265256186367"</f>
        <v>18107265256186367</v>
      </c>
      <c r="D975" t="s">
        <v>2048</v>
      </c>
      <c r="E975" t="s">
        <v>2049</v>
      </c>
      <c r="F975" t="s">
        <v>2046</v>
      </c>
      <c r="G975" t="s">
        <v>2047</v>
      </c>
    </row>
    <row r="976" spans="1:7" x14ac:dyDescent="0.25">
      <c r="A976">
        <v>7011217606</v>
      </c>
      <c r="B976" t="s">
        <v>2043</v>
      </c>
      <c r="C976" t="str">
        <f>"17855192348006057"</f>
        <v>17855192348006057</v>
      </c>
      <c r="D976" t="s">
        <v>2044</v>
      </c>
      <c r="E976" t="s">
        <v>2045</v>
      </c>
      <c r="F976" t="s">
        <v>2046</v>
      </c>
      <c r="G976" t="s">
        <v>2047</v>
      </c>
    </row>
    <row r="977" spans="1:7" x14ac:dyDescent="0.25">
      <c r="A977">
        <v>7011217606</v>
      </c>
      <c r="B977" t="s">
        <v>2043</v>
      </c>
      <c r="C977" t="str">
        <f>"18107265256186367"</f>
        <v>18107265256186367</v>
      </c>
      <c r="D977" t="s">
        <v>2048</v>
      </c>
      <c r="E977" t="s">
        <v>2049</v>
      </c>
      <c r="F977" t="s">
        <v>2046</v>
      </c>
      <c r="G977" t="s">
        <v>2047</v>
      </c>
    </row>
    <row r="978" spans="1:7" x14ac:dyDescent="0.25">
      <c r="A978">
        <v>50855967233</v>
      </c>
      <c r="B978" t="s">
        <v>2050</v>
      </c>
      <c r="C978" t="str">
        <f>"17903788736367096"</f>
        <v>17903788736367096</v>
      </c>
      <c r="D978" t="s">
        <v>2051</v>
      </c>
      <c r="E978" t="s">
        <v>2052</v>
      </c>
      <c r="F978" t="s">
        <v>2053</v>
      </c>
      <c r="G978" t="s">
        <v>2054</v>
      </c>
    </row>
    <row r="979" spans="1:7" x14ac:dyDescent="0.25">
      <c r="A979">
        <v>50855967233</v>
      </c>
      <c r="B979" t="s">
        <v>2050</v>
      </c>
      <c r="C979" t="str">
        <f>"17903788736367096"</f>
        <v>17903788736367096</v>
      </c>
      <c r="D979" t="s">
        <v>2051</v>
      </c>
      <c r="E979" t="s">
        <v>2052</v>
      </c>
      <c r="F979" t="s">
        <v>2053</v>
      </c>
      <c r="G979" t="s">
        <v>2055</v>
      </c>
    </row>
    <row r="980" spans="1:7" x14ac:dyDescent="0.25">
      <c r="A980">
        <v>3677979934</v>
      </c>
      <c r="B980" t="s">
        <v>430</v>
      </c>
      <c r="C980" t="str">
        <f>"17920672477404061"</f>
        <v>17920672477404061</v>
      </c>
      <c r="D980" t="s">
        <v>2056</v>
      </c>
      <c r="E980" t="s">
        <v>2057</v>
      </c>
      <c r="F980" t="s">
        <v>433</v>
      </c>
      <c r="G980" t="s">
        <v>2058</v>
      </c>
    </row>
    <row r="981" spans="1:7" x14ac:dyDescent="0.25">
      <c r="A981">
        <v>6733257916</v>
      </c>
      <c r="B981" t="s">
        <v>1757</v>
      </c>
      <c r="C981" t="str">
        <f>"18135269638069577"</f>
        <v>18135269638069577</v>
      </c>
      <c r="D981" t="s">
        <v>2059</v>
      </c>
      <c r="E981" t="s">
        <v>2060</v>
      </c>
      <c r="F981" t="s">
        <v>1760</v>
      </c>
      <c r="G981" t="s">
        <v>2061</v>
      </c>
    </row>
    <row r="982" spans="1:7" x14ac:dyDescent="0.25">
      <c r="A982">
        <v>3677979934</v>
      </c>
      <c r="B982" t="s">
        <v>430</v>
      </c>
      <c r="C982" t="str">
        <f>"17920672477404061"</f>
        <v>17920672477404061</v>
      </c>
      <c r="D982" t="s">
        <v>2056</v>
      </c>
      <c r="E982" t="s">
        <v>2057</v>
      </c>
      <c r="F982" t="s">
        <v>433</v>
      </c>
      <c r="G982" t="s">
        <v>2058</v>
      </c>
    </row>
    <row r="983" spans="1:7" x14ac:dyDescent="0.25">
      <c r="A983">
        <v>6733257916</v>
      </c>
      <c r="B983" t="s">
        <v>1757</v>
      </c>
      <c r="C983" t="str">
        <f>"18135269638069577"</f>
        <v>18135269638069577</v>
      </c>
      <c r="D983" t="s">
        <v>2059</v>
      </c>
      <c r="E983" t="s">
        <v>2060</v>
      </c>
      <c r="F983" t="s">
        <v>1760</v>
      </c>
      <c r="G983" t="s">
        <v>2061</v>
      </c>
    </row>
    <row r="984" spans="1:7" x14ac:dyDescent="0.25">
      <c r="A984">
        <v>3677979934</v>
      </c>
      <c r="B984" t="s">
        <v>430</v>
      </c>
      <c r="C984" t="str">
        <f>"17880694114606803"</f>
        <v>17880694114606803</v>
      </c>
      <c r="D984" t="s">
        <v>2062</v>
      </c>
      <c r="E984" t="s">
        <v>2063</v>
      </c>
      <c r="F984" t="s">
        <v>433</v>
      </c>
      <c r="G984" t="s">
        <v>2064</v>
      </c>
    </row>
    <row r="985" spans="1:7" x14ac:dyDescent="0.25">
      <c r="A985">
        <v>3677979934</v>
      </c>
      <c r="B985" t="s">
        <v>430</v>
      </c>
      <c r="C985" t="str">
        <f>"17880694114606803"</f>
        <v>17880694114606803</v>
      </c>
      <c r="D985" t="s">
        <v>2062</v>
      </c>
      <c r="E985" t="s">
        <v>2063</v>
      </c>
      <c r="F985" t="s">
        <v>433</v>
      </c>
      <c r="G985" t="s">
        <v>2064</v>
      </c>
    </row>
    <row r="986" spans="1:7" x14ac:dyDescent="0.25">
      <c r="A986">
        <v>433441810</v>
      </c>
      <c r="B986" t="s">
        <v>2065</v>
      </c>
      <c r="C986" t="str">
        <f>"18109886794083607"</f>
        <v>18109886794083607</v>
      </c>
      <c r="D986" t="s">
        <v>2066</v>
      </c>
      <c r="E986" t="s">
        <v>2067</v>
      </c>
      <c r="F986" t="s">
        <v>2068</v>
      </c>
      <c r="G986" t="s">
        <v>2069</v>
      </c>
    </row>
    <row r="987" spans="1:7" x14ac:dyDescent="0.25">
      <c r="A987">
        <v>433441810</v>
      </c>
      <c r="B987" t="s">
        <v>2065</v>
      </c>
      <c r="C987" t="str">
        <f>"18109886794083607"</f>
        <v>18109886794083607</v>
      </c>
      <c r="D987" t="s">
        <v>2066</v>
      </c>
      <c r="E987" t="s">
        <v>2067</v>
      </c>
      <c r="F987" t="s">
        <v>2068</v>
      </c>
      <c r="G987" t="s">
        <v>2069</v>
      </c>
    </row>
    <row r="988" spans="1:7" x14ac:dyDescent="0.25">
      <c r="A988">
        <v>2998885146</v>
      </c>
      <c r="B988" t="s">
        <v>2070</v>
      </c>
      <c r="C988" t="str">
        <f>"17842160948280226"</f>
        <v>17842160948280226</v>
      </c>
      <c r="D988" t="s">
        <v>2071</v>
      </c>
      <c r="E988" t="s">
        <v>2072</v>
      </c>
      <c r="F988" t="s">
        <v>2073</v>
      </c>
      <c r="G988" t="s">
        <v>2074</v>
      </c>
    </row>
    <row r="989" spans="1:7" x14ac:dyDescent="0.25">
      <c r="A989">
        <v>2998885146</v>
      </c>
      <c r="B989" t="s">
        <v>2070</v>
      </c>
      <c r="C989" t="str">
        <f>"17842160948280226"</f>
        <v>17842160948280226</v>
      </c>
      <c r="D989" t="s">
        <v>2071</v>
      </c>
      <c r="E989" t="s">
        <v>2072</v>
      </c>
      <c r="F989" t="s">
        <v>2073</v>
      </c>
      <c r="G989" t="s">
        <v>2074</v>
      </c>
    </row>
    <row r="990" spans="1:7" x14ac:dyDescent="0.25">
      <c r="A990">
        <v>1128201231</v>
      </c>
      <c r="B990" t="s">
        <v>2075</v>
      </c>
      <c r="C990" t="str">
        <f>"17881557136636304"</f>
        <v>17881557136636304</v>
      </c>
      <c r="D990" t="s">
        <v>2076</v>
      </c>
      <c r="E990" t="s">
        <v>2077</v>
      </c>
      <c r="F990" t="s">
        <v>2078</v>
      </c>
      <c r="G990" t="s">
        <v>2079</v>
      </c>
    </row>
    <row r="991" spans="1:7" x14ac:dyDescent="0.25">
      <c r="A991">
        <v>1128201231</v>
      </c>
      <c r="B991" t="s">
        <v>2075</v>
      </c>
      <c r="C991" t="str">
        <f>"17881557136636304"</f>
        <v>17881557136636304</v>
      </c>
      <c r="D991" t="s">
        <v>2076</v>
      </c>
      <c r="E991" t="s">
        <v>2077</v>
      </c>
      <c r="F991" t="s">
        <v>2078</v>
      </c>
      <c r="G991" t="s">
        <v>2079</v>
      </c>
    </row>
    <row r="992" spans="1:7" x14ac:dyDescent="0.25">
      <c r="A992">
        <v>6897621763</v>
      </c>
      <c r="B992" t="s">
        <v>2080</v>
      </c>
      <c r="C992" t="str">
        <f>"17936724209019717"</f>
        <v>17936724209019717</v>
      </c>
      <c r="D992" t="s">
        <v>2081</v>
      </c>
      <c r="E992" t="s">
        <v>2082</v>
      </c>
      <c r="F992" t="s">
        <v>2083</v>
      </c>
      <c r="G992" t="s">
        <v>2084</v>
      </c>
    </row>
    <row r="993" spans="1:7" x14ac:dyDescent="0.25">
      <c r="A993">
        <v>6897621763</v>
      </c>
      <c r="B993" t="s">
        <v>2080</v>
      </c>
      <c r="C993" t="str">
        <f>"17936724209019717"</f>
        <v>17936724209019717</v>
      </c>
      <c r="D993" t="s">
        <v>2081</v>
      </c>
      <c r="E993" t="s">
        <v>2082</v>
      </c>
      <c r="F993" t="s">
        <v>2083</v>
      </c>
      <c r="G993" t="s">
        <v>2084</v>
      </c>
    </row>
    <row r="994" spans="1:7" x14ac:dyDescent="0.25">
      <c r="A994">
        <v>3624180963</v>
      </c>
      <c r="B994" t="s">
        <v>2085</v>
      </c>
      <c r="C994" t="str">
        <f>"17856635789013951"</f>
        <v>17856635789013951</v>
      </c>
      <c r="D994" t="s">
        <v>1748</v>
      </c>
      <c r="E994" t="s">
        <v>2086</v>
      </c>
      <c r="F994" t="s">
        <v>2087</v>
      </c>
      <c r="G994" t="s">
        <v>2088</v>
      </c>
    </row>
    <row r="995" spans="1:7" x14ac:dyDescent="0.25">
      <c r="A995">
        <v>3624180963</v>
      </c>
      <c r="B995" t="s">
        <v>2085</v>
      </c>
      <c r="C995" t="str">
        <f>"17856635789013951"</f>
        <v>17856635789013951</v>
      </c>
      <c r="D995" t="s">
        <v>1748</v>
      </c>
      <c r="E995" t="s">
        <v>2086</v>
      </c>
      <c r="F995" t="s">
        <v>2087</v>
      </c>
      <c r="G995" t="s">
        <v>2088</v>
      </c>
    </row>
    <row r="996" spans="1:7" x14ac:dyDescent="0.25">
      <c r="A996">
        <v>1087662631</v>
      </c>
      <c r="B996" t="s">
        <v>2089</v>
      </c>
      <c r="C996" t="str">
        <f>"18231877750102473"</f>
        <v>18231877750102473</v>
      </c>
      <c r="D996" t="s">
        <v>2090</v>
      </c>
      <c r="E996" t="s">
        <v>2091</v>
      </c>
      <c r="F996" t="s">
        <v>2092</v>
      </c>
      <c r="G996" t="s">
        <v>2093</v>
      </c>
    </row>
    <row r="997" spans="1:7" x14ac:dyDescent="0.25">
      <c r="A997">
        <v>33920599312</v>
      </c>
      <c r="B997" t="s">
        <v>2094</v>
      </c>
      <c r="C997" t="str">
        <f>"18072684316205029"</f>
        <v>18072684316205029</v>
      </c>
      <c r="D997" t="s">
        <v>2095</v>
      </c>
      <c r="E997" t="s">
        <v>2096</v>
      </c>
      <c r="F997" t="s">
        <v>2097</v>
      </c>
      <c r="G997" t="s">
        <v>2098</v>
      </c>
    </row>
    <row r="998" spans="1:7" x14ac:dyDescent="0.25">
      <c r="A998">
        <v>33920599312</v>
      </c>
      <c r="B998" t="s">
        <v>2094</v>
      </c>
      <c r="C998" t="str">
        <f>"18072684316205029"</f>
        <v>18072684316205029</v>
      </c>
      <c r="D998" t="s">
        <v>2095</v>
      </c>
      <c r="E998" t="s">
        <v>2096</v>
      </c>
      <c r="F998" t="s">
        <v>2097</v>
      </c>
      <c r="G998" t="s">
        <v>2098</v>
      </c>
    </row>
    <row r="999" spans="1:7" x14ac:dyDescent="0.25">
      <c r="A999">
        <v>27654235929</v>
      </c>
      <c r="B999" t="s">
        <v>2099</v>
      </c>
      <c r="C999" t="str">
        <f>"18109944826185453"</f>
        <v>18109944826185453</v>
      </c>
      <c r="D999" t="s">
        <v>2100</v>
      </c>
      <c r="E999" t="s">
        <v>2101</v>
      </c>
      <c r="F999" t="s">
        <v>2102</v>
      </c>
      <c r="G999" t="s">
        <v>2103</v>
      </c>
    </row>
    <row r="1000" spans="1:7" x14ac:dyDescent="0.25">
      <c r="A1000">
        <v>27654235929</v>
      </c>
      <c r="B1000" t="s">
        <v>2099</v>
      </c>
      <c r="C1000" t="str">
        <f>"18109944826185453"</f>
        <v>18109944826185453</v>
      </c>
      <c r="D1000" t="s">
        <v>2100</v>
      </c>
      <c r="E1000" t="s">
        <v>2101</v>
      </c>
      <c r="F1000" t="s">
        <v>2102</v>
      </c>
      <c r="G1000" t="s">
        <v>2103</v>
      </c>
    </row>
    <row r="1001" spans="1:7" x14ac:dyDescent="0.25">
      <c r="A1001">
        <v>2270489757</v>
      </c>
      <c r="B1001" t="s">
        <v>2104</v>
      </c>
      <c r="C1001" t="str">
        <f>"17864903317895165"</f>
        <v>17864903317895165</v>
      </c>
      <c r="D1001" t="s">
        <v>2105</v>
      </c>
      <c r="E1001" t="s">
        <v>2106</v>
      </c>
      <c r="F1001" t="s">
        <v>2107</v>
      </c>
      <c r="G1001" t="s">
        <v>2108</v>
      </c>
    </row>
    <row r="1002" spans="1:7" x14ac:dyDescent="0.25">
      <c r="A1002">
        <v>2270489757</v>
      </c>
      <c r="B1002" t="s">
        <v>2104</v>
      </c>
      <c r="C1002" t="str">
        <f>"17864903317895165"</f>
        <v>17864903317895165</v>
      </c>
      <c r="D1002" t="s">
        <v>2105</v>
      </c>
      <c r="E1002" t="s">
        <v>2106</v>
      </c>
      <c r="F1002" t="s">
        <v>2107</v>
      </c>
      <c r="G1002" t="s">
        <v>2108</v>
      </c>
    </row>
    <row r="1003" spans="1:7" x14ac:dyDescent="0.25">
      <c r="A1003">
        <v>1428841452</v>
      </c>
      <c r="B1003" t="s">
        <v>2109</v>
      </c>
      <c r="C1003" t="str">
        <f>"17895179803542195"</f>
        <v>17895179803542195</v>
      </c>
      <c r="D1003" t="s">
        <v>2110</v>
      </c>
      <c r="E1003" t="s">
        <v>2111</v>
      </c>
      <c r="F1003" t="s">
        <v>2112</v>
      </c>
      <c r="G1003" t="s">
        <v>2113</v>
      </c>
    </row>
    <row r="1004" spans="1:7" x14ac:dyDescent="0.25">
      <c r="A1004">
        <v>1428841452</v>
      </c>
      <c r="B1004" t="s">
        <v>2109</v>
      </c>
      <c r="C1004" t="str">
        <f>"17895179803542195"</f>
        <v>17895179803542195</v>
      </c>
      <c r="D1004" t="s">
        <v>2110</v>
      </c>
      <c r="E1004" t="s">
        <v>2111</v>
      </c>
      <c r="F1004" t="s">
        <v>2112</v>
      </c>
      <c r="G1004" t="s">
        <v>2113</v>
      </c>
    </row>
    <row r="1005" spans="1:7" x14ac:dyDescent="0.25">
      <c r="A1005">
        <v>5681336579</v>
      </c>
      <c r="B1005" t="s">
        <v>2114</v>
      </c>
      <c r="C1005" t="str">
        <f>"18143772766068244"</f>
        <v>18143772766068244</v>
      </c>
      <c r="D1005" t="s">
        <v>8</v>
      </c>
      <c r="E1005" t="s">
        <v>2115</v>
      </c>
      <c r="F1005" t="s">
        <v>2116</v>
      </c>
      <c r="G1005" t="s">
        <v>2117</v>
      </c>
    </row>
    <row r="1006" spans="1:7" x14ac:dyDescent="0.25">
      <c r="A1006">
        <v>5681336579</v>
      </c>
      <c r="B1006" t="s">
        <v>2114</v>
      </c>
      <c r="C1006" t="str">
        <f>"18143772766068244"</f>
        <v>18143772766068244</v>
      </c>
      <c r="D1006" t="s">
        <v>8</v>
      </c>
      <c r="E1006" t="s">
        <v>2115</v>
      </c>
      <c r="F1006" t="s">
        <v>2116</v>
      </c>
      <c r="G1006" t="s">
        <v>2117</v>
      </c>
    </row>
    <row r="1007" spans="1:7" x14ac:dyDescent="0.25">
      <c r="A1007">
        <v>5681336579</v>
      </c>
      <c r="B1007" t="s">
        <v>2114</v>
      </c>
      <c r="C1007" t="str">
        <f>"18143772766068244"</f>
        <v>18143772766068244</v>
      </c>
      <c r="D1007" t="s">
        <v>8</v>
      </c>
      <c r="E1007" t="s">
        <v>2115</v>
      </c>
      <c r="F1007" t="s">
        <v>2116</v>
      </c>
      <c r="G1007" t="s">
        <v>2117</v>
      </c>
    </row>
    <row r="1008" spans="1:7" x14ac:dyDescent="0.25">
      <c r="A1008">
        <v>2270263605</v>
      </c>
      <c r="B1008" t="s">
        <v>2118</v>
      </c>
      <c r="C1008" t="str">
        <f>"17905560593448863"</f>
        <v>17905560593448863</v>
      </c>
      <c r="D1008" t="s">
        <v>759</v>
      </c>
      <c r="E1008" t="s">
        <v>2119</v>
      </c>
      <c r="F1008" t="s">
        <v>2120</v>
      </c>
      <c r="G1008" t="s">
        <v>2121</v>
      </c>
    </row>
    <row r="1009" spans="1:7" x14ac:dyDescent="0.25">
      <c r="A1009">
        <v>3677979934</v>
      </c>
      <c r="B1009" t="s">
        <v>430</v>
      </c>
      <c r="C1009" t="str">
        <f>"17878909363709560"</f>
        <v>17878909363709560</v>
      </c>
      <c r="D1009" t="s">
        <v>2122</v>
      </c>
      <c r="E1009" t="s">
        <v>2123</v>
      </c>
      <c r="F1009" t="s">
        <v>433</v>
      </c>
      <c r="G1009" t="s">
        <v>2124</v>
      </c>
    </row>
    <row r="1010" spans="1:7" x14ac:dyDescent="0.25">
      <c r="A1010">
        <v>3677979934</v>
      </c>
      <c r="B1010" t="s">
        <v>430</v>
      </c>
      <c r="C1010" t="str">
        <f>"17878909363709560"</f>
        <v>17878909363709560</v>
      </c>
      <c r="D1010" t="s">
        <v>2122</v>
      </c>
      <c r="E1010" t="s">
        <v>2123</v>
      </c>
      <c r="F1010" t="s">
        <v>433</v>
      </c>
      <c r="G1010" t="s">
        <v>2124</v>
      </c>
    </row>
    <row r="1011" spans="1:7" x14ac:dyDescent="0.25">
      <c r="A1011">
        <v>5425175022</v>
      </c>
      <c r="B1011" t="s">
        <v>2125</v>
      </c>
      <c r="C1011" t="str">
        <f>"17859460004018887"</f>
        <v>17859460004018887</v>
      </c>
      <c r="D1011" t="s">
        <v>2126</v>
      </c>
      <c r="E1011" t="s">
        <v>2127</v>
      </c>
      <c r="F1011" t="s">
        <v>2128</v>
      </c>
      <c r="G1011" t="s">
        <v>2129</v>
      </c>
    </row>
    <row r="1012" spans="1:7" x14ac:dyDescent="0.25">
      <c r="A1012">
        <v>5425175022</v>
      </c>
      <c r="B1012" t="s">
        <v>2125</v>
      </c>
      <c r="C1012" t="str">
        <f>"17859460004018887"</f>
        <v>17859460004018887</v>
      </c>
      <c r="D1012" t="s">
        <v>2126</v>
      </c>
      <c r="E1012" t="s">
        <v>2127</v>
      </c>
      <c r="F1012" t="s">
        <v>2128</v>
      </c>
      <c r="G1012" t="s">
        <v>2129</v>
      </c>
    </row>
    <row r="1013" spans="1:7" x14ac:dyDescent="0.25">
      <c r="A1013">
        <v>5475043447</v>
      </c>
      <c r="B1013" t="s">
        <v>2130</v>
      </c>
      <c r="C1013" t="str">
        <f>"18029445718273365"</f>
        <v>18029445718273365</v>
      </c>
      <c r="D1013" t="s">
        <v>2131</v>
      </c>
      <c r="E1013" t="s">
        <v>2132</v>
      </c>
      <c r="F1013" t="s">
        <v>2133</v>
      </c>
      <c r="G1013" t="s">
        <v>2134</v>
      </c>
    </row>
    <row r="1014" spans="1:7" x14ac:dyDescent="0.25">
      <c r="A1014">
        <v>5475043447</v>
      </c>
      <c r="B1014" t="s">
        <v>2130</v>
      </c>
      <c r="C1014" t="str">
        <f>"18029445718273365"</f>
        <v>18029445718273365</v>
      </c>
      <c r="D1014" t="s">
        <v>2131</v>
      </c>
      <c r="E1014" t="s">
        <v>2132</v>
      </c>
      <c r="F1014" t="s">
        <v>2133</v>
      </c>
      <c r="G1014" t="s">
        <v>2134</v>
      </c>
    </row>
    <row r="1015" spans="1:7" x14ac:dyDescent="0.25">
      <c r="A1015">
        <v>3677979934</v>
      </c>
      <c r="B1015" t="s">
        <v>430</v>
      </c>
      <c r="C1015" t="str">
        <f>"17854041449133206"</f>
        <v>17854041449133206</v>
      </c>
      <c r="D1015" t="s">
        <v>2062</v>
      </c>
      <c r="E1015" t="s">
        <v>2135</v>
      </c>
      <c r="F1015" t="s">
        <v>433</v>
      </c>
      <c r="G1015" t="s">
        <v>2136</v>
      </c>
    </row>
    <row r="1016" spans="1:7" x14ac:dyDescent="0.25">
      <c r="A1016">
        <v>3677979934</v>
      </c>
      <c r="B1016" t="s">
        <v>430</v>
      </c>
      <c r="C1016" t="str">
        <f>"17854041449133206"</f>
        <v>17854041449133206</v>
      </c>
      <c r="D1016" t="s">
        <v>2062</v>
      </c>
      <c r="E1016" t="s">
        <v>2135</v>
      </c>
      <c r="F1016" t="s">
        <v>433</v>
      </c>
      <c r="G1016" t="s">
        <v>2136</v>
      </c>
    </row>
    <row r="1017" spans="1:7" x14ac:dyDescent="0.25">
      <c r="A1017">
        <v>9376312853</v>
      </c>
      <c r="B1017" t="s">
        <v>2137</v>
      </c>
      <c r="C1017" t="str">
        <f>"17861798246052980"</f>
        <v>17861798246052980</v>
      </c>
      <c r="D1017" t="s">
        <v>2138</v>
      </c>
      <c r="E1017" t="s">
        <v>2139</v>
      </c>
      <c r="F1017" t="s">
        <v>2140</v>
      </c>
      <c r="G1017" t="s">
        <v>2141</v>
      </c>
    </row>
    <row r="1018" spans="1:7" x14ac:dyDescent="0.25">
      <c r="A1018">
        <v>9376312853</v>
      </c>
      <c r="B1018" t="s">
        <v>2137</v>
      </c>
      <c r="C1018" t="str">
        <f>"17868446857903871"</f>
        <v>17868446857903871</v>
      </c>
      <c r="D1018" t="s">
        <v>2142</v>
      </c>
      <c r="E1018" t="s">
        <v>2143</v>
      </c>
      <c r="F1018" t="s">
        <v>2140</v>
      </c>
      <c r="G1018" t="s">
        <v>2141</v>
      </c>
    </row>
    <row r="1019" spans="1:7" x14ac:dyDescent="0.25">
      <c r="A1019">
        <v>3677979934</v>
      </c>
      <c r="B1019" t="s">
        <v>430</v>
      </c>
      <c r="C1019" t="str">
        <f>"17900994145512818"</f>
        <v>17900994145512818</v>
      </c>
      <c r="D1019" t="s">
        <v>2144</v>
      </c>
      <c r="E1019" t="s">
        <v>2145</v>
      </c>
      <c r="F1019" t="s">
        <v>433</v>
      </c>
      <c r="G1019" t="s">
        <v>2146</v>
      </c>
    </row>
    <row r="1020" spans="1:7" x14ac:dyDescent="0.25">
      <c r="A1020">
        <v>3677979934</v>
      </c>
      <c r="B1020" t="s">
        <v>430</v>
      </c>
      <c r="C1020" t="str">
        <f>"17866706068960047"</f>
        <v>17866706068960047</v>
      </c>
      <c r="D1020" t="s">
        <v>1748</v>
      </c>
      <c r="E1020" t="s">
        <v>2147</v>
      </c>
      <c r="F1020" t="s">
        <v>433</v>
      </c>
      <c r="G1020" t="s">
        <v>2146</v>
      </c>
    </row>
    <row r="1021" spans="1:7" x14ac:dyDescent="0.25">
      <c r="A1021">
        <v>3677979934</v>
      </c>
      <c r="B1021" t="s">
        <v>430</v>
      </c>
      <c r="C1021" t="str">
        <f>"18044603806259632"</f>
        <v>18044603806259632</v>
      </c>
      <c r="D1021" t="s">
        <v>2148</v>
      </c>
      <c r="E1021" t="s">
        <v>2149</v>
      </c>
      <c r="F1021" t="s">
        <v>433</v>
      </c>
      <c r="G1021" t="s">
        <v>2146</v>
      </c>
    </row>
    <row r="1022" spans="1:7" x14ac:dyDescent="0.25">
      <c r="A1022">
        <v>3677979934</v>
      </c>
      <c r="B1022" t="s">
        <v>430</v>
      </c>
      <c r="C1022" t="str">
        <f>"17892986341588533"</f>
        <v>17892986341588533</v>
      </c>
      <c r="D1022" t="s">
        <v>2150</v>
      </c>
      <c r="E1022" t="s">
        <v>2151</v>
      </c>
      <c r="F1022" t="s">
        <v>433</v>
      </c>
      <c r="G1022" t="s">
        <v>2146</v>
      </c>
    </row>
    <row r="1023" spans="1:7" x14ac:dyDescent="0.25">
      <c r="A1023">
        <v>9376312853</v>
      </c>
      <c r="B1023" t="s">
        <v>2137</v>
      </c>
      <c r="C1023" t="str">
        <f>"17861798246052980"</f>
        <v>17861798246052980</v>
      </c>
      <c r="D1023" t="s">
        <v>2138</v>
      </c>
      <c r="E1023" t="s">
        <v>2139</v>
      </c>
      <c r="F1023" t="s">
        <v>2140</v>
      </c>
      <c r="G1023" t="s">
        <v>2152</v>
      </c>
    </row>
    <row r="1024" spans="1:7" x14ac:dyDescent="0.25">
      <c r="A1024">
        <v>9376312853</v>
      </c>
      <c r="B1024" t="s">
        <v>2137</v>
      </c>
      <c r="C1024" t="str">
        <f>"17868446857903871"</f>
        <v>17868446857903871</v>
      </c>
      <c r="D1024" t="s">
        <v>2142</v>
      </c>
      <c r="E1024" t="s">
        <v>2143</v>
      </c>
      <c r="F1024" t="s">
        <v>2140</v>
      </c>
      <c r="G1024" t="s">
        <v>2152</v>
      </c>
    </row>
    <row r="1025" spans="1:7" x14ac:dyDescent="0.25">
      <c r="A1025">
        <v>3677979934</v>
      </c>
      <c r="B1025" t="s">
        <v>430</v>
      </c>
      <c r="C1025" t="str">
        <f>"17900994145512818"</f>
        <v>17900994145512818</v>
      </c>
      <c r="D1025" t="s">
        <v>2144</v>
      </c>
      <c r="E1025" t="s">
        <v>2145</v>
      </c>
      <c r="F1025" t="s">
        <v>433</v>
      </c>
      <c r="G1025" t="s">
        <v>2153</v>
      </c>
    </row>
    <row r="1026" spans="1:7" x14ac:dyDescent="0.25">
      <c r="A1026">
        <v>3677979934</v>
      </c>
      <c r="B1026" t="s">
        <v>430</v>
      </c>
      <c r="C1026" t="str">
        <f>"17866706068960047"</f>
        <v>17866706068960047</v>
      </c>
      <c r="D1026" t="s">
        <v>1748</v>
      </c>
      <c r="E1026" t="s">
        <v>2147</v>
      </c>
      <c r="F1026" t="s">
        <v>433</v>
      </c>
      <c r="G1026" t="s">
        <v>2153</v>
      </c>
    </row>
    <row r="1027" spans="1:7" x14ac:dyDescent="0.25">
      <c r="A1027">
        <v>3677979934</v>
      </c>
      <c r="B1027" t="s">
        <v>430</v>
      </c>
      <c r="C1027" t="str">
        <f>"18044603806259632"</f>
        <v>18044603806259632</v>
      </c>
      <c r="D1027" t="s">
        <v>2148</v>
      </c>
      <c r="E1027" t="s">
        <v>2149</v>
      </c>
      <c r="F1027" t="s">
        <v>433</v>
      </c>
      <c r="G1027" t="s">
        <v>2153</v>
      </c>
    </row>
    <row r="1028" spans="1:7" x14ac:dyDescent="0.25">
      <c r="A1028">
        <v>3677979934</v>
      </c>
      <c r="B1028" t="s">
        <v>430</v>
      </c>
      <c r="C1028" t="str">
        <f>"17892986341588533"</f>
        <v>17892986341588533</v>
      </c>
      <c r="D1028" t="s">
        <v>2150</v>
      </c>
      <c r="E1028" t="s">
        <v>2151</v>
      </c>
      <c r="F1028" t="s">
        <v>433</v>
      </c>
      <c r="G1028" t="s">
        <v>2153</v>
      </c>
    </row>
    <row r="1029" spans="1:7" x14ac:dyDescent="0.25">
      <c r="A1029">
        <v>233838041</v>
      </c>
      <c r="B1029" t="s">
        <v>2154</v>
      </c>
      <c r="C1029" t="str">
        <f>"17850172346199349"</f>
        <v>17850172346199349</v>
      </c>
      <c r="D1029" t="s">
        <v>2155</v>
      </c>
      <c r="E1029" t="s">
        <v>2156</v>
      </c>
      <c r="F1029" t="s">
        <v>2157</v>
      </c>
      <c r="G1029" t="s">
        <v>2158</v>
      </c>
    </row>
    <row r="1030" spans="1:7" x14ac:dyDescent="0.25">
      <c r="A1030">
        <v>233838041</v>
      </c>
      <c r="B1030" t="s">
        <v>2154</v>
      </c>
      <c r="C1030" t="str">
        <f>"17850172346199349"</f>
        <v>17850172346199349</v>
      </c>
      <c r="D1030" t="s">
        <v>2155</v>
      </c>
      <c r="E1030" t="s">
        <v>2156</v>
      </c>
      <c r="F1030" t="s">
        <v>2157</v>
      </c>
      <c r="G1030" t="s">
        <v>2158</v>
      </c>
    </row>
    <row r="1031" spans="1:7" x14ac:dyDescent="0.25">
      <c r="A1031">
        <v>6733257916</v>
      </c>
      <c r="B1031" t="s">
        <v>1757</v>
      </c>
      <c r="C1031" t="str">
        <f>"17860519319070883"</f>
        <v>17860519319070883</v>
      </c>
      <c r="D1031" t="s">
        <v>2159</v>
      </c>
      <c r="E1031" t="s">
        <v>2160</v>
      </c>
      <c r="F1031" t="s">
        <v>1760</v>
      </c>
      <c r="G1031" t="s">
        <v>2161</v>
      </c>
    </row>
    <row r="1032" spans="1:7" x14ac:dyDescent="0.25">
      <c r="A1032">
        <v>3677979934</v>
      </c>
      <c r="B1032" t="s">
        <v>430</v>
      </c>
      <c r="C1032" t="str">
        <f>"17863213835012315"</f>
        <v>17863213835012315</v>
      </c>
      <c r="D1032" t="s">
        <v>2162</v>
      </c>
      <c r="E1032" t="s">
        <v>2163</v>
      </c>
      <c r="F1032" t="s">
        <v>433</v>
      </c>
      <c r="G1032" t="s">
        <v>2164</v>
      </c>
    </row>
    <row r="1033" spans="1:7" x14ac:dyDescent="0.25">
      <c r="A1033">
        <v>6733257916</v>
      </c>
      <c r="B1033" t="s">
        <v>1757</v>
      </c>
      <c r="C1033" t="str">
        <f>"17860519319070883"</f>
        <v>17860519319070883</v>
      </c>
      <c r="D1033" t="s">
        <v>2159</v>
      </c>
      <c r="E1033" t="s">
        <v>2160</v>
      </c>
      <c r="F1033" t="s">
        <v>1760</v>
      </c>
      <c r="G1033" t="s">
        <v>2161</v>
      </c>
    </row>
    <row r="1034" spans="1:7" x14ac:dyDescent="0.25">
      <c r="A1034">
        <v>3677979934</v>
      </c>
      <c r="B1034" t="s">
        <v>430</v>
      </c>
      <c r="C1034" t="str">
        <f>"17863213835012315"</f>
        <v>17863213835012315</v>
      </c>
      <c r="D1034" t="s">
        <v>2162</v>
      </c>
      <c r="E1034" t="s">
        <v>2163</v>
      </c>
      <c r="F1034" t="s">
        <v>433</v>
      </c>
      <c r="G1034" t="s">
        <v>2164</v>
      </c>
    </row>
    <row r="1035" spans="1:7" x14ac:dyDescent="0.25">
      <c r="A1035">
        <v>49039484778</v>
      </c>
      <c r="B1035" t="s">
        <v>2165</v>
      </c>
      <c r="C1035" t="str">
        <f>"17924091575221491"</f>
        <v>17924091575221491</v>
      </c>
      <c r="D1035" t="s">
        <v>2166</v>
      </c>
      <c r="E1035" t="s">
        <v>2167</v>
      </c>
      <c r="F1035" t="s">
        <v>2168</v>
      </c>
      <c r="G1035" t="s">
        <v>2169</v>
      </c>
    </row>
    <row r="1036" spans="1:7" x14ac:dyDescent="0.25">
      <c r="A1036">
        <v>52360782275</v>
      </c>
      <c r="B1036" t="s">
        <v>2170</v>
      </c>
      <c r="C1036" t="str">
        <f>"18277752148069959"</f>
        <v>18277752148069959</v>
      </c>
      <c r="D1036" t="s">
        <v>2171</v>
      </c>
      <c r="E1036" t="s">
        <v>2172</v>
      </c>
      <c r="F1036" t="s">
        <v>2173</v>
      </c>
      <c r="G1036" t="s">
        <v>2174</v>
      </c>
    </row>
    <row r="1037" spans="1:7" x14ac:dyDescent="0.25">
      <c r="A1037">
        <v>49039484778</v>
      </c>
      <c r="B1037" t="s">
        <v>2165</v>
      </c>
      <c r="C1037" t="str">
        <f>"17924091575221491"</f>
        <v>17924091575221491</v>
      </c>
      <c r="D1037" t="s">
        <v>2166</v>
      </c>
      <c r="E1037" t="s">
        <v>2167</v>
      </c>
      <c r="F1037" t="s">
        <v>2168</v>
      </c>
      <c r="G1037" t="s">
        <v>2175</v>
      </c>
    </row>
    <row r="1038" spans="1:7" x14ac:dyDescent="0.25">
      <c r="A1038">
        <v>52360782275</v>
      </c>
      <c r="B1038" t="s">
        <v>2170</v>
      </c>
      <c r="C1038" t="str">
        <f>"18277752148069959"</f>
        <v>18277752148069959</v>
      </c>
      <c r="D1038" t="s">
        <v>2171</v>
      </c>
      <c r="E1038" t="s">
        <v>2172</v>
      </c>
      <c r="F1038" t="s">
        <v>2173</v>
      </c>
      <c r="G1038" t="s">
        <v>2176</v>
      </c>
    </row>
    <row r="1039" spans="1:7" x14ac:dyDescent="0.25">
      <c r="A1039">
        <v>10951968498</v>
      </c>
      <c r="B1039" t="s">
        <v>2177</v>
      </c>
      <c r="C1039" t="str">
        <f>"17938237528380229"</f>
        <v>17938237528380229</v>
      </c>
      <c r="D1039" t="s">
        <v>2178</v>
      </c>
      <c r="E1039" t="s">
        <v>2179</v>
      </c>
      <c r="F1039" t="s">
        <v>2180</v>
      </c>
      <c r="G1039" t="s">
        <v>2181</v>
      </c>
    </row>
    <row r="1040" spans="1:7" x14ac:dyDescent="0.25">
      <c r="A1040">
        <v>10951968498</v>
      </c>
      <c r="B1040" t="s">
        <v>2177</v>
      </c>
      <c r="C1040" t="str">
        <f>"17938237528380229"</f>
        <v>17938237528380229</v>
      </c>
      <c r="D1040" t="s">
        <v>2178</v>
      </c>
      <c r="E1040" t="s">
        <v>2179</v>
      </c>
      <c r="F1040" t="s">
        <v>2180</v>
      </c>
      <c r="G1040" t="s">
        <v>2181</v>
      </c>
    </row>
    <row r="1041" spans="1:7" x14ac:dyDescent="0.25">
      <c r="A1041">
        <v>3677979934</v>
      </c>
      <c r="B1041" t="s">
        <v>430</v>
      </c>
      <c r="C1041" t="str">
        <f>"17850684392215287"</f>
        <v>17850684392215287</v>
      </c>
      <c r="D1041" t="s">
        <v>2056</v>
      </c>
      <c r="E1041" t="s">
        <v>2182</v>
      </c>
      <c r="F1041" t="s">
        <v>433</v>
      </c>
      <c r="G1041" t="s">
        <v>2183</v>
      </c>
    </row>
    <row r="1042" spans="1:7" x14ac:dyDescent="0.25">
      <c r="A1042">
        <v>3677979934</v>
      </c>
      <c r="B1042" t="s">
        <v>430</v>
      </c>
      <c r="C1042" t="str">
        <f>"17850684392215287"</f>
        <v>17850684392215287</v>
      </c>
      <c r="D1042" t="s">
        <v>2056</v>
      </c>
      <c r="E1042" t="s">
        <v>2182</v>
      </c>
      <c r="F1042" t="s">
        <v>433</v>
      </c>
      <c r="G1042" t="s">
        <v>2183</v>
      </c>
    </row>
    <row r="1043" spans="1:7" x14ac:dyDescent="0.25">
      <c r="A1043">
        <v>5958837475</v>
      </c>
      <c r="B1043" t="s">
        <v>2184</v>
      </c>
      <c r="C1043" t="str">
        <f>"17850341789256447"</f>
        <v>17850341789256447</v>
      </c>
      <c r="D1043" t="s">
        <v>2185</v>
      </c>
      <c r="E1043" t="s">
        <v>2186</v>
      </c>
      <c r="F1043" t="s">
        <v>2187</v>
      </c>
      <c r="G1043" t="s">
        <v>2188</v>
      </c>
    </row>
    <row r="1044" spans="1:7" x14ac:dyDescent="0.25">
      <c r="A1044">
        <v>5958837475</v>
      </c>
      <c r="B1044" t="s">
        <v>2184</v>
      </c>
      <c r="C1044" t="str">
        <f>"17850341789256447"</f>
        <v>17850341789256447</v>
      </c>
      <c r="D1044" t="s">
        <v>2185</v>
      </c>
      <c r="E1044" t="s">
        <v>2186</v>
      </c>
      <c r="F1044" t="s">
        <v>2187</v>
      </c>
      <c r="G1044" t="s">
        <v>2188</v>
      </c>
    </row>
    <row r="1045" spans="1:7" x14ac:dyDescent="0.25">
      <c r="A1045">
        <v>1521425425</v>
      </c>
      <c r="B1045" t="s">
        <v>2189</v>
      </c>
      <c r="C1045" t="str">
        <f>"17994941617555379"</f>
        <v>17994941617555379</v>
      </c>
      <c r="D1045" t="s">
        <v>759</v>
      </c>
      <c r="E1045" t="s">
        <v>2190</v>
      </c>
      <c r="F1045" t="s">
        <v>2191</v>
      </c>
      <c r="G1045" t="s">
        <v>2192</v>
      </c>
    </row>
    <row r="1046" spans="1:7" x14ac:dyDescent="0.25">
      <c r="A1046">
        <v>1521425425</v>
      </c>
      <c r="B1046" t="s">
        <v>2189</v>
      </c>
      <c r="C1046" t="str">
        <f>"17994941617555379"</f>
        <v>17994941617555379</v>
      </c>
      <c r="D1046" t="s">
        <v>759</v>
      </c>
      <c r="E1046" t="s">
        <v>2190</v>
      </c>
      <c r="F1046" t="s">
        <v>2191</v>
      </c>
      <c r="G1046" t="s">
        <v>2192</v>
      </c>
    </row>
    <row r="1047" spans="1:7" x14ac:dyDescent="0.25">
      <c r="A1047">
        <v>13497488785</v>
      </c>
      <c r="B1047" t="s">
        <v>2193</v>
      </c>
      <c r="C1047" t="str">
        <f>"17952312235791858"</f>
        <v>17952312235791858</v>
      </c>
      <c r="D1047" t="s">
        <v>2194</v>
      </c>
      <c r="E1047" t="s">
        <v>2195</v>
      </c>
      <c r="F1047" t="s">
        <v>2196</v>
      </c>
      <c r="G1047" t="s">
        <v>2197</v>
      </c>
    </row>
    <row r="1048" spans="1:7" x14ac:dyDescent="0.25">
      <c r="A1048">
        <v>13497488785</v>
      </c>
      <c r="B1048" t="s">
        <v>2193</v>
      </c>
      <c r="C1048" t="str">
        <f>"17952312235791858"</f>
        <v>17952312235791858</v>
      </c>
      <c r="D1048" t="s">
        <v>2194</v>
      </c>
      <c r="E1048" t="s">
        <v>2195</v>
      </c>
      <c r="F1048" t="s">
        <v>2196</v>
      </c>
      <c r="G1048" t="s">
        <v>2198</v>
      </c>
    </row>
    <row r="1049" spans="1:7" x14ac:dyDescent="0.25">
      <c r="A1049">
        <v>51486780973</v>
      </c>
      <c r="B1049" t="s">
        <v>2199</v>
      </c>
      <c r="C1049" t="str">
        <f>"17930643194491483"</f>
        <v>17930643194491483</v>
      </c>
      <c r="D1049" t="s">
        <v>2200</v>
      </c>
      <c r="E1049" t="s">
        <v>2201</v>
      </c>
      <c r="F1049" t="s">
        <v>2202</v>
      </c>
      <c r="G1049" t="s">
        <v>2203</v>
      </c>
    </row>
    <row r="1050" spans="1:7" x14ac:dyDescent="0.25">
      <c r="A1050">
        <v>33918163508</v>
      </c>
      <c r="B1050" t="s">
        <v>2204</v>
      </c>
      <c r="C1050" t="str">
        <f>"18132728476129888"</f>
        <v>18132728476129888</v>
      </c>
      <c r="D1050" t="s">
        <v>2205</v>
      </c>
      <c r="E1050" t="s">
        <v>2206</v>
      </c>
      <c r="F1050" t="s">
        <v>2207</v>
      </c>
      <c r="G1050" t="s">
        <v>2208</v>
      </c>
    </row>
    <row r="1051" spans="1:7" x14ac:dyDescent="0.25">
      <c r="A1051">
        <v>3677979934</v>
      </c>
      <c r="B1051" t="s">
        <v>430</v>
      </c>
      <c r="C1051" t="str">
        <f>"17877999268800448"</f>
        <v>17877999268800448</v>
      </c>
      <c r="D1051" t="s">
        <v>2209</v>
      </c>
      <c r="E1051" t="s">
        <v>2210</v>
      </c>
      <c r="F1051" t="s">
        <v>433</v>
      </c>
      <c r="G1051" t="s">
        <v>2211</v>
      </c>
    </row>
    <row r="1052" spans="1:7" x14ac:dyDescent="0.25">
      <c r="A1052">
        <v>33918163508</v>
      </c>
      <c r="B1052" t="s">
        <v>2204</v>
      </c>
      <c r="C1052" t="str">
        <f>"18132728476129888"</f>
        <v>18132728476129888</v>
      </c>
      <c r="D1052" t="s">
        <v>2205</v>
      </c>
      <c r="E1052" t="s">
        <v>2206</v>
      </c>
      <c r="F1052" t="s">
        <v>2207</v>
      </c>
      <c r="G1052" t="s">
        <v>2208</v>
      </c>
    </row>
    <row r="1053" spans="1:7" x14ac:dyDescent="0.25">
      <c r="A1053">
        <v>3677979934</v>
      </c>
      <c r="B1053" t="s">
        <v>430</v>
      </c>
      <c r="C1053" t="str">
        <f>"17877999268800448"</f>
        <v>17877999268800448</v>
      </c>
      <c r="D1053" t="s">
        <v>2209</v>
      </c>
      <c r="E1053" t="s">
        <v>2210</v>
      </c>
      <c r="F1053" t="s">
        <v>433</v>
      </c>
      <c r="G1053" t="s">
        <v>2211</v>
      </c>
    </row>
    <row r="1054" spans="1:7" x14ac:dyDescent="0.25">
      <c r="A1054">
        <v>42505945969</v>
      </c>
      <c r="B1054" t="s">
        <v>2212</v>
      </c>
      <c r="C1054" t="str">
        <f>"17940358597983978"</f>
        <v>17940358597983978</v>
      </c>
      <c r="D1054" t="s">
        <v>2213</v>
      </c>
      <c r="E1054" t="s">
        <v>2214</v>
      </c>
      <c r="F1054" t="s">
        <v>2215</v>
      </c>
      <c r="G1054" t="s">
        <v>2216</v>
      </c>
    </row>
    <row r="1055" spans="1:7" x14ac:dyDescent="0.25">
      <c r="A1055">
        <v>42505945969</v>
      </c>
      <c r="B1055" t="s">
        <v>2212</v>
      </c>
      <c r="C1055" t="str">
        <f>"17940358597983978"</f>
        <v>17940358597983978</v>
      </c>
      <c r="D1055" t="s">
        <v>2213</v>
      </c>
      <c r="E1055" t="s">
        <v>2214</v>
      </c>
      <c r="F1055" t="s">
        <v>2215</v>
      </c>
      <c r="G1055" t="s">
        <v>2217</v>
      </c>
    </row>
    <row r="1056" spans="1:7" x14ac:dyDescent="0.25">
      <c r="A1056">
        <v>4130199</v>
      </c>
      <c r="B1056" t="s">
        <v>1967</v>
      </c>
      <c r="C1056" t="str">
        <f>"17860477628143015"</f>
        <v>17860477628143015</v>
      </c>
      <c r="D1056" t="s">
        <v>2218</v>
      </c>
      <c r="E1056" t="s">
        <v>2219</v>
      </c>
      <c r="F1056" t="s">
        <v>1970</v>
      </c>
      <c r="G1056" t="s">
        <v>2220</v>
      </c>
    </row>
    <row r="1057" spans="1:7" x14ac:dyDescent="0.25">
      <c r="A1057">
        <v>4130199</v>
      </c>
      <c r="B1057" t="s">
        <v>1967</v>
      </c>
      <c r="C1057" t="str">
        <f>"17860477628143015"</f>
        <v>17860477628143015</v>
      </c>
      <c r="D1057" t="s">
        <v>2218</v>
      </c>
      <c r="E1057" t="s">
        <v>2219</v>
      </c>
      <c r="F1057" t="s">
        <v>1970</v>
      </c>
      <c r="G1057" t="s">
        <v>2220</v>
      </c>
    </row>
    <row r="1058" spans="1:7" x14ac:dyDescent="0.25">
      <c r="A1058">
        <v>26227303900</v>
      </c>
      <c r="B1058" t="s">
        <v>2221</v>
      </c>
      <c r="C1058" t="str">
        <f>"17866427219018008"</f>
        <v>17866427219018008</v>
      </c>
      <c r="D1058" t="s">
        <v>2222</v>
      </c>
      <c r="E1058" t="s">
        <v>2223</v>
      </c>
      <c r="F1058" t="s">
        <v>2224</v>
      </c>
      <c r="G1058" t="s">
        <v>2225</v>
      </c>
    </row>
    <row r="1059" spans="1:7" x14ac:dyDescent="0.25">
      <c r="A1059">
        <v>26227303900</v>
      </c>
      <c r="B1059" t="s">
        <v>2221</v>
      </c>
      <c r="C1059" t="str">
        <f>"17866427219018008"</f>
        <v>17866427219018008</v>
      </c>
      <c r="D1059" t="s">
        <v>2222</v>
      </c>
      <c r="E1059" t="s">
        <v>2223</v>
      </c>
      <c r="F1059" t="s">
        <v>2224</v>
      </c>
      <c r="G1059" t="s">
        <v>2225</v>
      </c>
    </row>
    <row r="1060" spans="1:7" x14ac:dyDescent="0.25">
      <c r="A1060">
        <v>3677979934</v>
      </c>
      <c r="B1060" t="s">
        <v>430</v>
      </c>
      <c r="C1060" t="str">
        <f>"17881442200820893"</f>
        <v>17881442200820893</v>
      </c>
      <c r="D1060" t="s">
        <v>2056</v>
      </c>
      <c r="E1060" t="s">
        <v>2226</v>
      </c>
      <c r="F1060" t="s">
        <v>433</v>
      </c>
      <c r="G1060" t="s">
        <v>2227</v>
      </c>
    </row>
    <row r="1061" spans="1:7" x14ac:dyDescent="0.25">
      <c r="A1061">
        <v>3677979934</v>
      </c>
      <c r="B1061" t="s">
        <v>430</v>
      </c>
      <c r="C1061" t="str">
        <f>"17881442200820893"</f>
        <v>17881442200820893</v>
      </c>
      <c r="D1061" t="s">
        <v>2056</v>
      </c>
      <c r="E1061" t="s">
        <v>2226</v>
      </c>
      <c r="F1061" t="s">
        <v>433</v>
      </c>
      <c r="G1061" t="s">
        <v>2228</v>
      </c>
    </row>
    <row r="1062" spans="1:7" x14ac:dyDescent="0.25">
      <c r="A1062">
        <v>3677979934</v>
      </c>
      <c r="B1062" t="s">
        <v>430</v>
      </c>
      <c r="C1062" t="str">
        <f>"17858117756228984"</f>
        <v>17858117756228984</v>
      </c>
      <c r="D1062" t="s">
        <v>2229</v>
      </c>
      <c r="E1062" t="s">
        <v>2230</v>
      </c>
      <c r="F1062" t="s">
        <v>433</v>
      </c>
      <c r="G1062" t="s">
        <v>2231</v>
      </c>
    </row>
    <row r="1063" spans="1:7" x14ac:dyDescent="0.25">
      <c r="A1063">
        <v>3677979934</v>
      </c>
      <c r="B1063" t="s">
        <v>430</v>
      </c>
      <c r="C1063" t="str">
        <f>"17858117756228984"</f>
        <v>17858117756228984</v>
      </c>
      <c r="D1063" t="s">
        <v>2229</v>
      </c>
      <c r="E1063" t="s">
        <v>2230</v>
      </c>
      <c r="F1063" t="s">
        <v>433</v>
      </c>
      <c r="G1063" t="s">
        <v>2231</v>
      </c>
    </row>
    <row r="1064" spans="1:7" x14ac:dyDescent="0.25">
      <c r="A1064">
        <v>3677979934</v>
      </c>
      <c r="B1064" t="s">
        <v>430</v>
      </c>
      <c r="C1064" t="str">
        <f>"18052720036268504"</f>
        <v>18052720036268504</v>
      </c>
      <c r="D1064" t="s">
        <v>2232</v>
      </c>
      <c r="E1064" t="s">
        <v>2233</v>
      </c>
      <c r="F1064" t="s">
        <v>433</v>
      </c>
      <c r="G1064" t="s">
        <v>2234</v>
      </c>
    </row>
    <row r="1065" spans="1:7" x14ac:dyDescent="0.25">
      <c r="A1065">
        <v>3677979934</v>
      </c>
      <c r="B1065" t="s">
        <v>430</v>
      </c>
      <c r="C1065" t="str">
        <f>"17867044313103343"</f>
        <v>17867044313103343</v>
      </c>
      <c r="D1065" t="s">
        <v>2232</v>
      </c>
      <c r="E1065" t="s">
        <v>2235</v>
      </c>
      <c r="F1065" t="s">
        <v>433</v>
      </c>
      <c r="G1065" t="s">
        <v>2236</v>
      </c>
    </row>
    <row r="1066" spans="1:7" x14ac:dyDescent="0.25">
      <c r="A1066">
        <v>10138641810</v>
      </c>
      <c r="B1066" t="s">
        <v>2237</v>
      </c>
      <c r="C1066" t="str">
        <f>"17861021972237415"</f>
        <v>17861021972237415</v>
      </c>
      <c r="D1066" t="s">
        <v>2238</v>
      </c>
      <c r="E1066" t="s">
        <v>2239</v>
      </c>
      <c r="F1066" t="s">
        <v>2240</v>
      </c>
      <c r="G1066" t="s">
        <v>2241</v>
      </c>
    </row>
    <row r="1067" spans="1:7" x14ac:dyDescent="0.25">
      <c r="A1067">
        <v>3677979934</v>
      </c>
      <c r="B1067" t="s">
        <v>430</v>
      </c>
      <c r="C1067" t="str">
        <f>"17860522574317075"</f>
        <v>17860522574317075</v>
      </c>
      <c r="D1067" t="s">
        <v>2242</v>
      </c>
      <c r="E1067" t="s">
        <v>2243</v>
      </c>
      <c r="F1067" t="s">
        <v>433</v>
      </c>
      <c r="G1067" t="s">
        <v>2236</v>
      </c>
    </row>
    <row r="1068" spans="1:7" x14ac:dyDescent="0.25">
      <c r="A1068">
        <v>3677979934</v>
      </c>
      <c r="B1068" t="s">
        <v>430</v>
      </c>
      <c r="C1068" t="str">
        <f>"17867044313103343"</f>
        <v>17867044313103343</v>
      </c>
      <c r="D1068" t="s">
        <v>2232</v>
      </c>
      <c r="E1068" t="s">
        <v>2235</v>
      </c>
      <c r="F1068" t="s">
        <v>433</v>
      </c>
      <c r="G1068" t="s">
        <v>2244</v>
      </c>
    </row>
    <row r="1069" spans="1:7" x14ac:dyDescent="0.25">
      <c r="A1069">
        <v>10138641810</v>
      </c>
      <c r="B1069" t="s">
        <v>2237</v>
      </c>
      <c r="C1069" t="str">
        <f>"17861021972237415"</f>
        <v>17861021972237415</v>
      </c>
      <c r="D1069" t="s">
        <v>2238</v>
      </c>
      <c r="E1069" t="s">
        <v>2239</v>
      </c>
      <c r="F1069" t="s">
        <v>2240</v>
      </c>
      <c r="G1069" t="s">
        <v>2245</v>
      </c>
    </row>
    <row r="1070" spans="1:7" x14ac:dyDescent="0.25">
      <c r="A1070">
        <v>3677979934</v>
      </c>
      <c r="B1070" t="s">
        <v>430</v>
      </c>
      <c r="C1070" t="str">
        <f>"17860522574317075"</f>
        <v>17860522574317075</v>
      </c>
      <c r="D1070" t="s">
        <v>2242</v>
      </c>
      <c r="E1070" t="s">
        <v>2243</v>
      </c>
      <c r="F1070" t="s">
        <v>433</v>
      </c>
      <c r="G1070" t="s">
        <v>2244</v>
      </c>
    </row>
    <row r="1071" spans="1:7" x14ac:dyDescent="0.25">
      <c r="A1071">
        <v>1521425425</v>
      </c>
      <c r="B1071" t="s">
        <v>2189</v>
      </c>
      <c r="C1071" t="str">
        <f>"17995727671503089"</f>
        <v>17995727671503089</v>
      </c>
      <c r="D1071" t="s">
        <v>2246</v>
      </c>
      <c r="E1071" t="s">
        <v>2247</v>
      </c>
      <c r="F1071" t="s">
        <v>2191</v>
      </c>
      <c r="G1071" t="s">
        <v>2248</v>
      </c>
    </row>
    <row r="1072" spans="1:7" x14ac:dyDescent="0.25">
      <c r="A1072">
        <v>15778807787</v>
      </c>
      <c r="B1072" t="s">
        <v>2249</v>
      </c>
      <c r="C1072" t="str">
        <f>"17896713994667241"</f>
        <v>17896713994667241</v>
      </c>
      <c r="D1072" t="s">
        <v>2250</v>
      </c>
      <c r="E1072" t="s">
        <v>2251</v>
      </c>
      <c r="F1072" t="s">
        <v>2252</v>
      </c>
      <c r="G1072" t="s">
        <v>2253</v>
      </c>
    </row>
    <row r="1073" spans="1:7" x14ac:dyDescent="0.25">
      <c r="A1073">
        <v>15778807787</v>
      </c>
      <c r="B1073" t="s">
        <v>2249</v>
      </c>
      <c r="C1073" t="str">
        <f>"17896713994667241"</f>
        <v>17896713994667241</v>
      </c>
      <c r="D1073" t="s">
        <v>2250</v>
      </c>
      <c r="E1073" t="s">
        <v>2251</v>
      </c>
      <c r="F1073" t="s">
        <v>2252</v>
      </c>
      <c r="G1073" t="s">
        <v>2253</v>
      </c>
    </row>
    <row r="1074" spans="1:7" x14ac:dyDescent="0.25">
      <c r="A1074">
        <v>3677979934</v>
      </c>
      <c r="B1074" t="s">
        <v>430</v>
      </c>
      <c r="C1074" t="str">
        <f>"18176948584029163"</f>
        <v>18176948584029163</v>
      </c>
      <c r="D1074" t="s">
        <v>2056</v>
      </c>
      <c r="E1074" t="s">
        <v>2254</v>
      </c>
      <c r="F1074" t="s">
        <v>433</v>
      </c>
      <c r="G1074" t="s">
        <v>2255</v>
      </c>
    </row>
    <row r="1075" spans="1:7" x14ac:dyDescent="0.25">
      <c r="A1075">
        <v>3677979934</v>
      </c>
      <c r="B1075" t="s">
        <v>430</v>
      </c>
      <c r="C1075" t="str">
        <f>"18176948584029163"</f>
        <v>18176948584029163</v>
      </c>
      <c r="D1075" t="s">
        <v>2056</v>
      </c>
      <c r="E1075" t="s">
        <v>2254</v>
      </c>
      <c r="F1075" t="s">
        <v>433</v>
      </c>
      <c r="G1075" t="s">
        <v>2256</v>
      </c>
    </row>
    <row r="1076" spans="1:7" x14ac:dyDescent="0.25">
      <c r="A1076">
        <v>3677979934</v>
      </c>
      <c r="B1076" t="s">
        <v>430</v>
      </c>
      <c r="C1076" t="str">
        <f>"18176948584029163"</f>
        <v>18176948584029163</v>
      </c>
      <c r="D1076" t="s">
        <v>2056</v>
      </c>
      <c r="E1076" t="s">
        <v>2254</v>
      </c>
      <c r="F1076" t="s">
        <v>433</v>
      </c>
      <c r="G1076" t="s">
        <v>2255</v>
      </c>
    </row>
    <row r="1077" spans="1:7" x14ac:dyDescent="0.25">
      <c r="A1077">
        <v>3677979934</v>
      </c>
      <c r="B1077" t="s">
        <v>430</v>
      </c>
      <c r="C1077" t="str">
        <f>"17893341145741003"</f>
        <v>17893341145741003</v>
      </c>
      <c r="D1077" t="s">
        <v>2056</v>
      </c>
      <c r="E1077" t="s">
        <v>2257</v>
      </c>
      <c r="F1077" t="s">
        <v>433</v>
      </c>
      <c r="G1077" t="s">
        <v>2258</v>
      </c>
    </row>
    <row r="1078" spans="1:7" x14ac:dyDescent="0.25">
      <c r="A1078">
        <v>3677979934</v>
      </c>
      <c r="B1078" t="s">
        <v>430</v>
      </c>
      <c r="C1078" t="str">
        <f>"17893341145741003"</f>
        <v>17893341145741003</v>
      </c>
      <c r="D1078" t="s">
        <v>2056</v>
      </c>
      <c r="E1078" t="s">
        <v>2257</v>
      </c>
      <c r="F1078" t="s">
        <v>433</v>
      </c>
      <c r="G1078" t="s">
        <v>2259</v>
      </c>
    </row>
    <row r="1079" spans="1:7" x14ac:dyDescent="0.25">
      <c r="A1079">
        <v>3677979934</v>
      </c>
      <c r="B1079" t="s">
        <v>430</v>
      </c>
      <c r="C1079" t="str">
        <f>"17857509782334377"</f>
        <v>17857509782334377</v>
      </c>
      <c r="D1079" t="s">
        <v>2056</v>
      </c>
      <c r="E1079" t="s">
        <v>2260</v>
      </c>
      <c r="F1079" t="s">
        <v>433</v>
      </c>
      <c r="G1079" t="s">
        <v>2261</v>
      </c>
    </row>
    <row r="1080" spans="1:7" x14ac:dyDescent="0.25">
      <c r="A1080">
        <v>3677979934</v>
      </c>
      <c r="B1080" t="s">
        <v>430</v>
      </c>
      <c r="C1080" t="str">
        <f>"17857509782334377"</f>
        <v>17857509782334377</v>
      </c>
      <c r="D1080" t="s">
        <v>2056</v>
      </c>
      <c r="E1080" t="s">
        <v>2260</v>
      </c>
      <c r="F1080" t="s">
        <v>433</v>
      </c>
      <c r="G1080" t="s">
        <v>2262</v>
      </c>
    </row>
    <row r="1081" spans="1:7" x14ac:dyDescent="0.25">
      <c r="A1081">
        <v>3677979934</v>
      </c>
      <c r="B1081" t="s">
        <v>430</v>
      </c>
      <c r="C1081" t="str">
        <f>"17857509782334377"</f>
        <v>17857509782334377</v>
      </c>
      <c r="D1081" t="s">
        <v>2056</v>
      </c>
      <c r="E1081" t="s">
        <v>2260</v>
      </c>
      <c r="F1081" t="s">
        <v>433</v>
      </c>
      <c r="G1081" t="s">
        <v>2263</v>
      </c>
    </row>
    <row r="1082" spans="1:7" x14ac:dyDescent="0.25">
      <c r="A1082">
        <v>279134590</v>
      </c>
      <c r="B1082" t="s">
        <v>2264</v>
      </c>
      <c r="C1082" t="str">
        <f>"18062095303262402"</f>
        <v>18062095303262402</v>
      </c>
      <c r="D1082" t="s">
        <v>2265</v>
      </c>
      <c r="E1082" t="s">
        <v>2266</v>
      </c>
      <c r="F1082" t="s">
        <v>2267</v>
      </c>
      <c r="G1082" t="s">
        <v>2268</v>
      </c>
    </row>
    <row r="1083" spans="1:7" x14ac:dyDescent="0.25">
      <c r="A1083">
        <v>279134590</v>
      </c>
      <c r="B1083" t="s">
        <v>2264</v>
      </c>
      <c r="C1083" t="str">
        <f>"18062095303262402"</f>
        <v>18062095303262402</v>
      </c>
      <c r="D1083" t="s">
        <v>2265</v>
      </c>
      <c r="E1083" t="s">
        <v>2266</v>
      </c>
      <c r="F1083" t="s">
        <v>2267</v>
      </c>
      <c r="G1083" t="s">
        <v>2268</v>
      </c>
    </row>
    <row r="1084" spans="1:7" x14ac:dyDescent="0.25">
      <c r="A1084">
        <v>3677979934</v>
      </c>
      <c r="B1084" t="s">
        <v>430</v>
      </c>
      <c r="C1084" t="str">
        <f>"17953072996389050"</f>
        <v>17953072996389050</v>
      </c>
      <c r="D1084" t="s">
        <v>2122</v>
      </c>
      <c r="E1084" t="s">
        <v>2269</v>
      </c>
      <c r="F1084" t="s">
        <v>433</v>
      </c>
      <c r="G1084" t="s">
        <v>2270</v>
      </c>
    </row>
    <row r="1085" spans="1:7" x14ac:dyDescent="0.25">
      <c r="A1085">
        <v>3677979934</v>
      </c>
      <c r="B1085" t="s">
        <v>430</v>
      </c>
      <c r="C1085" t="str">
        <f>"17953072996389050"</f>
        <v>17953072996389050</v>
      </c>
      <c r="D1085" t="s">
        <v>2122</v>
      </c>
      <c r="E1085" t="s">
        <v>2269</v>
      </c>
      <c r="F1085" t="s">
        <v>433</v>
      </c>
      <c r="G1085" t="s">
        <v>2270</v>
      </c>
    </row>
    <row r="1086" spans="1:7" x14ac:dyDescent="0.25">
      <c r="A1086">
        <v>1521425425</v>
      </c>
      <c r="B1086" t="s">
        <v>2189</v>
      </c>
      <c r="C1086" t="str">
        <f>"17962889003090738"</f>
        <v>17962889003090738</v>
      </c>
      <c r="D1086" t="s">
        <v>2271</v>
      </c>
      <c r="E1086" t="s">
        <v>2272</v>
      </c>
      <c r="F1086" t="s">
        <v>2191</v>
      </c>
      <c r="G1086" t="s">
        <v>2273</v>
      </c>
    </row>
    <row r="1087" spans="1:7" x14ac:dyDescent="0.25">
      <c r="A1087">
        <v>1801205303</v>
      </c>
      <c r="B1087" t="s">
        <v>2274</v>
      </c>
      <c r="C1087" t="str">
        <f>"17967294416015044"</f>
        <v>17967294416015044</v>
      </c>
      <c r="D1087" t="s">
        <v>2275</v>
      </c>
      <c r="E1087" t="s">
        <v>2276</v>
      </c>
      <c r="F1087" t="s">
        <v>2277</v>
      </c>
      <c r="G1087" t="s">
        <v>2278</v>
      </c>
    </row>
    <row r="1088" spans="1:7" x14ac:dyDescent="0.25">
      <c r="A1088">
        <v>3677979934</v>
      </c>
      <c r="B1088" t="s">
        <v>430</v>
      </c>
      <c r="C1088" t="str">
        <f>"17955410843106784"</f>
        <v>17955410843106784</v>
      </c>
      <c r="D1088" t="s">
        <v>2279</v>
      </c>
      <c r="E1088" t="s">
        <v>2280</v>
      </c>
      <c r="F1088" t="s">
        <v>433</v>
      </c>
      <c r="G1088" t="s">
        <v>2281</v>
      </c>
    </row>
    <row r="1089" spans="1:7" x14ac:dyDescent="0.25">
      <c r="A1089">
        <v>1801205303</v>
      </c>
      <c r="B1089" t="s">
        <v>2274</v>
      </c>
      <c r="C1089" t="str">
        <f>"18036878134407375"</f>
        <v>18036878134407375</v>
      </c>
      <c r="D1089" t="s">
        <v>2282</v>
      </c>
      <c r="E1089" t="s">
        <v>2283</v>
      </c>
      <c r="F1089" t="s">
        <v>2277</v>
      </c>
      <c r="G1089" t="s">
        <v>2284</v>
      </c>
    </row>
    <row r="1090" spans="1:7" x14ac:dyDescent="0.25">
      <c r="A1090">
        <v>3677979934</v>
      </c>
      <c r="B1090" t="s">
        <v>430</v>
      </c>
      <c r="C1090" t="str">
        <f>"17969497678959062"</f>
        <v>17969497678959062</v>
      </c>
      <c r="D1090" t="s">
        <v>2285</v>
      </c>
      <c r="E1090" t="s">
        <v>2286</v>
      </c>
      <c r="F1090" t="s">
        <v>433</v>
      </c>
      <c r="G1090" t="s">
        <v>2287</v>
      </c>
    </row>
    <row r="1091" spans="1:7" x14ac:dyDescent="0.25">
      <c r="A1091">
        <v>1801205303</v>
      </c>
      <c r="B1091" t="s">
        <v>2274</v>
      </c>
      <c r="C1091" t="str">
        <f>"18036878134407375"</f>
        <v>18036878134407375</v>
      </c>
      <c r="D1091" t="s">
        <v>2282</v>
      </c>
      <c r="E1091" t="s">
        <v>2283</v>
      </c>
      <c r="F1091" t="s">
        <v>2277</v>
      </c>
      <c r="G1091" t="s">
        <v>2284</v>
      </c>
    </row>
    <row r="1092" spans="1:7" x14ac:dyDescent="0.25">
      <c r="A1092">
        <v>3677979934</v>
      </c>
      <c r="B1092" t="s">
        <v>430</v>
      </c>
      <c r="C1092" t="str">
        <f>"17969497678959062"</f>
        <v>17969497678959062</v>
      </c>
      <c r="D1092" t="s">
        <v>2285</v>
      </c>
      <c r="E1092" t="s">
        <v>2286</v>
      </c>
      <c r="F1092" t="s">
        <v>433</v>
      </c>
      <c r="G1092" t="s">
        <v>2287</v>
      </c>
    </row>
    <row r="1093" spans="1:7" x14ac:dyDescent="0.25">
      <c r="A1093">
        <v>211937483</v>
      </c>
      <c r="B1093" t="s">
        <v>2288</v>
      </c>
      <c r="C1093" t="str">
        <f>"17948712578373708"</f>
        <v>17948712578373708</v>
      </c>
      <c r="D1093" t="s">
        <v>2289</v>
      </c>
      <c r="E1093" t="s">
        <v>2290</v>
      </c>
      <c r="F1093" t="s">
        <v>2291</v>
      </c>
      <c r="G1093" t="s">
        <v>2292</v>
      </c>
    </row>
    <row r="1094" spans="1:7" x14ac:dyDescent="0.25">
      <c r="A1094">
        <v>3677979934</v>
      </c>
      <c r="B1094" t="s">
        <v>430</v>
      </c>
      <c r="C1094" t="str">
        <f>"17948358539215811"</f>
        <v>17948358539215811</v>
      </c>
      <c r="D1094" t="s">
        <v>2293</v>
      </c>
      <c r="E1094" t="s">
        <v>2294</v>
      </c>
      <c r="F1094" t="s">
        <v>433</v>
      </c>
      <c r="G1094" t="s">
        <v>2295</v>
      </c>
    </row>
    <row r="1095" spans="1:7" x14ac:dyDescent="0.25">
      <c r="A1095">
        <v>211937483</v>
      </c>
      <c r="B1095" t="s">
        <v>2288</v>
      </c>
      <c r="C1095" t="str">
        <f>"17948712578373708"</f>
        <v>17948712578373708</v>
      </c>
      <c r="D1095" t="s">
        <v>2289</v>
      </c>
      <c r="E1095" t="s">
        <v>2290</v>
      </c>
      <c r="F1095" t="s">
        <v>2291</v>
      </c>
      <c r="G1095" t="s">
        <v>2296</v>
      </c>
    </row>
    <row r="1096" spans="1:7" x14ac:dyDescent="0.25">
      <c r="A1096">
        <v>3677979934</v>
      </c>
      <c r="B1096" t="s">
        <v>430</v>
      </c>
      <c r="C1096" t="str">
        <f>"17948358539215811"</f>
        <v>17948358539215811</v>
      </c>
      <c r="D1096" t="s">
        <v>2293</v>
      </c>
      <c r="E1096" t="s">
        <v>2294</v>
      </c>
      <c r="F1096" t="s">
        <v>433</v>
      </c>
      <c r="G1096" t="s">
        <v>2297</v>
      </c>
    </row>
    <row r="1097" spans="1:7" x14ac:dyDescent="0.25">
      <c r="A1097">
        <v>8635170319</v>
      </c>
      <c r="B1097" t="s">
        <v>2298</v>
      </c>
      <c r="C1097" t="str">
        <f>"17975794252921526"</f>
        <v>17975794252921526</v>
      </c>
      <c r="D1097" t="s">
        <v>2299</v>
      </c>
      <c r="E1097" t="s">
        <v>2300</v>
      </c>
      <c r="F1097" t="s">
        <v>2301</v>
      </c>
      <c r="G1097" t="s">
        <v>2302</v>
      </c>
    </row>
    <row r="1098" spans="1:7" x14ac:dyDescent="0.25">
      <c r="A1098">
        <v>46217001450</v>
      </c>
      <c r="B1098" t="s">
        <v>2303</v>
      </c>
      <c r="C1098" t="str">
        <f>"17877984005230180"</f>
        <v>17877984005230180</v>
      </c>
      <c r="D1098" t="s">
        <v>2304</v>
      </c>
      <c r="E1098" t="s">
        <v>2305</v>
      </c>
      <c r="F1098" t="s">
        <v>2306</v>
      </c>
      <c r="G1098" t="s">
        <v>2307</v>
      </c>
    </row>
    <row r="1099" spans="1:7" x14ac:dyDescent="0.25">
      <c r="A1099">
        <v>46217001450</v>
      </c>
      <c r="B1099" t="s">
        <v>2303</v>
      </c>
      <c r="C1099" t="str">
        <f>"17877984005230180"</f>
        <v>17877984005230180</v>
      </c>
      <c r="D1099" t="s">
        <v>2304</v>
      </c>
      <c r="E1099" t="s">
        <v>2305</v>
      </c>
      <c r="F1099" t="s">
        <v>2306</v>
      </c>
      <c r="G1099" t="s">
        <v>2308</v>
      </c>
    </row>
    <row r="1100" spans="1:7" x14ac:dyDescent="0.25">
      <c r="A1100">
        <v>10713417061</v>
      </c>
      <c r="B1100" t="s">
        <v>2309</v>
      </c>
      <c r="C1100" t="str">
        <f>"17869668218388312"</f>
        <v>17869668218388312</v>
      </c>
      <c r="D1100" t="s">
        <v>2310</v>
      </c>
      <c r="E1100" t="s">
        <v>2311</v>
      </c>
      <c r="F1100" t="s">
        <v>2312</v>
      </c>
      <c r="G1100" t="s">
        <v>2313</v>
      </c>
    </row>
    <row r="1101" spans="1:7" x14ac:dyDescent="0.25">
      <c r="A1101">
        <v>57303516812</v>
      </c>
      <c r="B1101" t="s">
        <v>2314</v>
      </c>
      <c r="C1101" t="str">
        <f>"17895986870744015"</f>
        <v>17895986870744015</v>
      </c>
      <c r="D1101" t="s">
        <v>2315</v>
      </c>
      <c r="E1101" t="s">
        <v>2316</v>
      </c>
      <c r="F1101" t="s">
        <v>2317</v>
      </c>
      <c r="G1101" t="s">
        <v>2318</v>
      </c>
    </row>
    <row r="1102" spans="1:7" x14ac:dyDescent="0.25">
      <c r="A1102">
        <v>8635170319</v>
      </c>
      <c r="B1102" t="s">
        <v>2298</v>
      </c>
      <c r="C1102" t="str">
        <f>"18340736905017417"</f>
        <v>18340736905017417</v>
      </c>
      <c r="D1102" t="s">
        <v>2319</v>
      </c>
      <c r="E1102" t="s">
        <v>2320</v>
      </c>
      <c r="F1102" t="s">
        <v>2301</v>
      </c>
      <c r="G1102" t="s">
        <v>2321</v>
      </c>
    </row>
    <row r="1103" spans="1:7" x14ac:dyDescent="0.25">
      <c r="A1103">
        <v>8635170319</v>
      </c>
      <c r="B1103" t="s">
        <v>2298</v>
      </c>
      <c r="C1103" t="str">
        <f>"18340736905017417"</f>
        <v>18340736905017417</v>
      </c>
      <c r="D1103" t="s">
        <v>2319</v>
      </c>
      <c r="E1103" t="s">
        <v>2320</v>
      </c>
      <c r="F1103" t="s">
        <v>2301</v>
      </c>
      <c r="G1103" t="s">
        <v>2322</v>
      </c>
    </row>
    <row r="1104" spans="1:7" x14ac:dyDescent="0.25">
      <c r="A1104">
        <v>3677979934</v>
      </c>
      <c r="B1104" t="s">
        <v>430</v>
      </c>
      <c r="C1104" t="str">
        <f>"17849516255589419"</f>
        <v>17849516255589419</v>
      </c>
      <c r="D1104" t="s">
        <v>2323</v>
      </c>
      <c r="E1104" t="s">
        <v>2324</v>
      </c>
      <c r="F1104" t="s">
        <v>433</v>
      </c>
      <c r="G1104" t="s">
        <v>2325</v>
      </c>
    </row>
    <row r="1105" spans="1:7" x14ac:dyDescent="0.25">
      <c r="A1105">
        <v>3677979934</v>
      </c>
      <c r="B1105" t="s">
        <v>430</v>
      </c>
      <c r="C1105" t="str">
        <f>"17849516255589419"</f>
        <v>17849516255589419</v>
      </c>
      <c r="D1105" t="s">
        <v>2323</v>
      </c>
      <c r="E1105" t="s">
        <v>2324</v>
      </c>
      <c r="F1105" t="s">
        <v>433</v>
      </c>
      <c r="G1105" t="s">
        <v>2326</v>
      </c>
    </row>
    <row r="1106" spans="1:7" x14ac:dyDescent="0.25">
      <c r="A1106">
        <v>467384520</v>
      </c>
      <c r="B1106" t="s">
        <v>2327</v>
      </c>
      <c r="C1106" t="str">
        <f>"17901127490727009"</f>
        <v>17901127490727009</v>
      </c>
      <c r="D1106" t="s">
        <v>2328</v>
      </c>
      <c r="E1106" t="s">
        <v>2329</v>
      </c>
      <c r="F1106" t="s">
        <v>2330</v>
      </c>
      <c r="G1106" t="s">
        <v>2331</v>
      </c>
    </row>
    <row r="1107" spans="1:7" x14ac:dyDescent="0.25">
      <c r="A1107">
        <v>3677979934</v>
      </c>
      <c r="B1107" t="s">
        <v>430</v>
      </c>
      <c r="C1107" t="str">
        <f>"17993864557725774"</f>
        <v>17993864557725774</v>
      </c>
      <c r="D1107" t="s">
        <v>2332</v>
      </c>
      <c r="E1107" t="s">
        <v>2333</v>
      </c>
      <c r="F1107" t="s">
        <v>433</v>
      </c>
      <c r="G1107" t="s">
        <v>2334</v>
      </c>
    </row>
    <row r="1108" spans="1:7" x14ac:dyDescent="0.25">
      <c r="A1108">
        <v>371028235</v>
      </c>
      <c r="B1108" t="s">
        <v>2335</v>
      </c>
      <c r="C1108" t="str">
        <f>"18342471100017544"</f>
        <v>18342471100017544</v>
      </c>
      <c r="D1108" t="s">
        <v>2336</v>
      </c>
      <c r="E1108" t="s">
        <v>2337</v>
      </c>
      <c r="F1108" t="s">
        <v>2338</v>
      </c>
      <c r="G1108" t="s">
        <v>2339</v>
      </c>
    </row>
    <row r="1109" spans="1:7" x14ac:dyDescent="0.25">
      <c r="A1109">
        <v>467384520</v>
      </c>
      <c r="B1109" t="s">
        <v>2327</v>
      </c>
      <c r="C1109" t="str">
        <f>"17901127490727009"</f>
        <v>17901127490727009</v>
      </c>
      <c r="D1109" t="s">
        <v>2328</v>
      </c>
      <c r="E1109" t="s">
        <v>2329</v>
      </c>
      <c r="F1109" t="s">
        <v>2330</v>
      </c>
      <c r="G1109" t="s">
        <v>2340</v>
      </c>
    </row>
    <row r="1110" spans="1:7" x14ac:dyDescent="0.25">
      <c r="A1110">
        <v>3677979934</v>
      </c>
      <c r="B1110" t="s">
        <v>430</v>
      </c>
      <c r="C1110" t="str">
        <f>"17993864557725774"</f>
        <v>17993864557725774</v>
      </c>
      <c r="D1110" t="s">
        <v>2332</v>
      </c>
      <c r="E1110" t="s">
        <v>2333</v>
      </c>
      <c r="F1110" t="s">
        <v>433</v>
      </c>
      <c r="G1110" t="s">
        <v>2341</v>
      </c>
    </row>
    <row r="1111" spans="1:7" x14ac:dyDescent="0.25">
      <c r="A1111">
        <v>371028235</v>
      </c>
      <c r="B1111" t="s">
        <v>2335</v>
      </c>
      <c r="C1111" t="str">
        <f>"18342471100017544"</f>
        <v>18342471100017544</v>
      </c>
      <c r="D1111" t="s">
        <v>2336</v>
      </c>
      <c r="E1111" t="s">
        <v>2337</v>
      </c>
      <c r="F1111" t="s">
        <v>2338</v>
      </c>
      <c r="G1111" t="s">
        <v>2342</v>
      </c>
    </row>
    <row r="1112" spans="1:7" x14ac:dyDescent="0.25">
      <c r="A1112">
        <v>467384520</v>
      </c>
      <c r="B1112" t="s">
        <v>2327</v>
      </c>
      <c r="C1112" t="str">
        <f>"17901127490727009"</f>
        <v>17901127490727009</v>
      </c>
      <c r="D1112" t="s">
        <v>2328</v>
      </c>
      <c r="E1112" t="s">
        <v>2329</v>
      </c>
      <c r="F1112" t="s">
        <v>2330</v>
      </c>
      <c r="G1112" t="s">
        <v>2331</v>
      </c>
    </row>
    <row r="1113" spans="1:7" x14ac:dyDescent="0.25">
      <c r="A1113">
        <v>3677979934</v>
      </c>
      <c r="B1113" t="s">
        <v>430</v>
      </c>
      <c r="C1113" t="str">
        <f>"17993864557725774"</f>
        <v>17993864557725774</v>
      </c>
      <c r="D1113" t="s">
        <v>2332</v>
      </c>
      <c r="E1113" t="s">
        <v>2333</v>
      </c>
      <c r="F1113" t="s">
        <v>433</v>
      </c>
      <c r="G1113" t="s">
        <v>2334</v>
      </c>
    </row>
    <row r="1114" spans="1:7" x14ac:dyDescent="0.25">
      <c r="A1114">
        <v>371028235</v>
      </c>
      <c r="B1114" t="s">
        <v>2335</v>
      </c>
      <c r="C1114" t="str">
        <f>"18342471100017544"</f>
        <v>18342471100017544</v>
      </c>
      <c r="D1114" t="s">
        <v>2336</v>
      </c>
      <c r="E1114" t="s">
        <v>2337</v>
      </c>
      <c r="F1114" t="s">
        <v>2338</v>
      </c>
      <c r="G1114" t="s">
        <v>2339</v>
      </c>
    </row>
    <row r="1115" spans="1:7" x14ac:dyDescent="0.25">
      <c r="A1115">
        <v>174217330</v>
      </c>
      <c r="B1115" t="s">
        <v>185</v>
      </c>
      <c r="C1115" t="str">
        <f>"17975585194381004"</f>
        <v>17975585194381004</v>
      </c>
      <c r="D1115" t="s">
        <v>8</v>
      </c>
      <c r="E1115" t="s">
        <v>2343</v>
      </c>
      <c r="F1115" t="s">
        <v>188</v>
      </c>
      <c r="G1115" t="s">
        <v>2344</v>
      </c>
    </row>
    <row r="1116" spans="1:7" x14ac:dyDescent="0.25">
      <c r="A1116">
        <v>174217330</v>
      </c>
      <c r="B1116" t="s">
        <v>185</v>
      </c>
      <c r="C1116" t="str">
        <f>"17975585194381004"</f>
        <v>17975585194381004</v>
      </c>
      <c r="D1116" t="s">
        <v>8</v>
      </c>
      <c r="E1116" t="s">
        <v>2343</v>
      </c>
      <c r="F1116" t="s">
        <v>188</v>
      </c>
      <c r="G1116" t="s">
        <v>2344</v>
      </c>
    </row>
    <row r="1117" spans="1:7" x14ac:dyDescent="0.25">
      <c r="A1117">
        <v>15778807787</v>
      </c>
      <c r="B1117" t="s">
        <v>2249</v>
      </c>
      <c r="C1117" t="str">
        <f>"17914291291829193"</f>
        <v>17914291291829193</v>
      </c>
      <c r="D1117" t="s">
        <v>2345</v>
      </c>
      <c r="E1117" t="s">
        <v>2346</v>
      </c>
      <c r="F1117" t="s">
        <v>2252</v>
      </c>
      <c r="G1117" t="s">
        <v>2347</v>
      </c>
    </row>
    <row r="1118" spans="1:7" x14ac:dyDescent="0.25">
      <c r="A1118">
        <v>34475543651</v>
      </c>
      <c r="B1118" t="s">
        <v>2348</v>
      </c>
      <c r="C1118" t="str">
        <f>"17908295264072089"</f>
        <v>17908295264072089</v>
      </c>
      <c r="D1118" t="s">
        <v>2349</v>
      </c>
      <c r="E1118" t="s">
        <v>2350</v>
      </c>
      <c r="F1118" t="s">
        <v>2351</v>
      </c>
      <c r="G1118" t="s">
        <v>2352</v>
      </c>
    </row>
    <row r="1119" spans="1:7" x14ac:dyDescent="0.25">
      <c r="A1119">
        <v>8635170319</v>
      </c>
      <c r="B1119" t="s">
        <v>2298</v>
      </c>
      <c r="C1119" t="str">
        <f>"18191960491116742"</f>
        <v>18191960491116742</v>
      </c>
      <c r="D1119" t="s">
        <v>2353</v>
      </c>
      <c r="E1119" t="s">
        <v>2354</v>
      </c>
      <c r="F1119" t="s">
        <v>2301</v>
      </c>
      <c r="G1119" t="s">
        <v>2355</v>
      </c>
    </row>
    <row r="1120" spans="1:7" x14ac:dyDescent="0.25">
      <c r="A1120">
        <v>10713417061</v>
      </c>
      <c r="B1120" t="s">
        <v>2309</v>
      </c>
      <c r="C1120" t="str">
        <f>"17944533499523487"</f>
        <v>17944533499523487</v>
      </c>
      <c r="D1120" t="s">
        <v>2356</v>
      </c>
      <c r="E1120" t="s">
        <v>2357</v>
      </c>
      <c r="F1120" t="s">
        <v>2312</v>
      </c>
      <c r="G1120" t="s">
        <v>2358</v>
      </c>
    </row>
    <row r="1121" spans="1:7" x14ac:dyDescent="0.25">
      <c r="A1121">
        <v>10713417061</v>
      </c>
      <c r="B1121" t="s">
        <v>2309</v>
      </c>
      <c r="C1121" t="str">
        <f>"17944533499523487"</f>
        <v>17944533499523487</v>
      </c>
      <c r="D1121" t="s">
        <v>2356</v>
      </c>
      <c r="E1121" t="s">
        <v>2357</v>
      </c>
      <c r="F1121" t="s">
        <v>2312</v>
      </c>
      <c r="G1121" t="s">
        <v>2359</v>
      </c>
    </row>
    <row r="1122" spans="1:7" x14ac:dyDescent="0.25">
      <c r="A1122">
        <v>50507351339</v>
      </c>
      <c r="B1122" t="s">
        <v>2360</v>
      </c>
      <c r="C1122" t="str">
        <f>"18252549118199578"</f>
        <v>18252549118199578</v>
      </c>
      <c r="D1122" t="s">
        <v>2361</v>
      </c>
      <c r="E1122" t="s">
        <v>2362</v>
      </c>
      <c r="F1122" t="s">
        <v>2363</v>
      </c>
      <c r="G1122" t="s">
        <v>2364</v>
      </c>
    </row>
    <row r="1123" spans="1:7" x14ac:dyDescent="0.25">
      <c r="A1123">
        <v>50799573387</v>
      </c>
      <c r="B1123" t="s">
        <v>2365</v>
      </c>
      <c r="C1123" t="str">
        <f>"18061417753375709"</f>
        <v>18061417753375709</v>
      </c>
      <c r="D1123" t="s">
        <v>2366</v>
      </c>
      <c r="E1123" t="s">
        <v>2367</v>
      </c>
      <c r="F1123" t="s">
        <v>2368</v>
      </c>
      <c r="G1123" t="s">
        <v>2369</v>
      </c>
    </row>
    <row r="1124" spans="1:7" x14ac:dyDescent="0.25">
      <c r="A1124">
        <v>48438046411</v>
      </c>
      <c r="B1124" t="s">
        <v>2370</v>
      </c>
      <c r="C1124" t="str">
        <f>"17923840660707136"</f>
        <v>17923840660707136</v>
      </c>
      <c r="D1124" t="s">
        <v>2371</v>
      </c>
      <c r="E1124" t="s">
        <v>2372</v>
      </c>
      <c r="F1124" t="s">
        <v>2373</v>
      </c>
      <c r="G1124" t="s">
        <v>2374</v>
      </c>
    </row>
    <row r="1125" spans="1:7" x14ac:dyDescent="0.25">
      <c r="A1125">
        <v>47110558319</v>
      </c>
      <c r="B1125" t="s">
        <v>2375</v>
      </c>
      <c r="C1125" t="str">
        <f>"17915023315878866"</f>
        <v>17915023315878866</v>
      </c>
      <c r="D1125" t="s">
        <v>2376</v>
      </c>
      <c r="E1125" t="s">
        <v>2377</v>
      </c>
      <c r="F1125" t="s">
        <v>2378</v>
      </c>
      <c r="G1125" t="s">
        <v>2379</v>
      </c>
    </row>
    <row r="1126" spans="1:7" x14ac:dyDescent="0.25">
      <c r="A1126">
        <v>10713417061</v>
      </c>
      <c r="B1126" t="s">
        <v>2309</v>
      </c>
      <c r="C1126" t="str">
        <f>"17920661959759816"</f>
        <v>17920661959759816</v>
      </c>
      <c r="D1126" t="s">
        <v>2310</v>
      </c>
      <c r="E1126" t="s">
        <v>2380</v>
      </c>
      <c r="F1126" t="s">
        <v>2312</v>
      </c>
      <c r="G1126" t="s">
        <v>2381</v>
      </c>
    </row>
    <row r="1127" spans="1:7" x14ac:dyDescent="0.25">
      <c r="A1127">
        <v>47110558319</v>
      </c>
      <c r="B1127" t="s">
        <v>2375</v>
      </c>
      <c r="C1127" t="str">
        <f>"17915023315878866"</f>
        <v>17915023315878866</v>
      </c>
      <c r="D1127" t="s">
        <v>2376</v>
      </c>
      <c r="E1127" t="s">
        <v>2377</v>
      </c>
      <c r="F1127" t="s">
        <v>2378</v>
      </c>
      <c r="G1127" t="s">
        <v>2382</v>
      </c>
    </row>
    <row r="1128" spans="1:7" x14ac:dyDescent="0.25">
      <c r="A1128">
        <v>10713417061</v>
      </c>
      <c r="B1128" t="s">
        <v>2309</v>
      </c>
      <c r="C1128" t="str">
        <f>"17920661959759816"</f>
        <v>17920661959759816</v>
      </c>
      <c r="D1128" t="s">
        <v>2310</v>
      </c>
      <c r="E1128" t="s">
        <v>2380</v>
      </c>
      <c r="F1128" t="s">
        <v>2312</v>
      </c>
      <c r="G1128" t="s">
        <v>2383</v>
      </c>
    </row>
    <row r="1129" spans="1:7" x14ac:dyDescent="0.25">
      <c r="A1129">
        <v>47110558319</v>
      </c>
      <c r="B1129" t="s">
        <v>2375</v>
      </c>
      <c r="C1129" t="str">
        <f>"17915023315878866"</f>
        <v>17915023315878866</v>
      </c>
      <c r="D1129" t="s">
        <v>2376</v>
      </c>
      <c r="E1129" t="s">
        <v>2377</v>
      </c>
      <c r="F1129" t="s">
        <v>2378</v>
      </c>
      <c r="G1129" t="s">
        <v>2379</v>
      </c>
    </row>
    <row r="1130" spans="1:7" x14ac:dyDescent="0.25">
      <c r="A1130">
        <v>10713417061</v>
      </c>
      <c r="B1130" t="s">
        <v>2309</v>
      </c>
      <c r="C1130" t="str">
        <f>"17920661959759816"</f>
        <v>17920661959759816</v>
      </c>
      <c r="D1130" t="s">
        <v>2310</v>
      </c>
      <c r="E1130" t="s">
        <v>2380</v>
      </c>
      <c r="F1130" t="s">
        <v>2312</v>
      </c>
      <c r="G1130" t="s">
        <v>2381</v>
      </c>
    </row>
    <row r="1131" spans="1:7" x14ac:dyDescent="0.25">
      <c r="A1131">
        <v>8635170319</v>
      </c>
      <c r="B1131" t="s">
        <v>2298</v>
      </c>
      <c r="C1131" t="str">
        <f>"17878422953882925"</f>
        <v>17878422953882925</v>
      </c>
      <c r="D1131" t="s">
        <v>2384</v>
      </c>
      <c r="E1131" t="s">
        <v>2385</v>
      </c>
      <c r="F1131" t="s">
        <v>2301</v>
      </c>
      <c r="G1131" t="s">
        <v>2386</v>
      </c>
    </row>
    <row r="1132" spans="1:7" x14ac:dyDescent="0.25">
      <c r="A1132">
        <v>8635170319</v>
      </c>
      <c r="B1132" t="s">
        <v>2298</v>
      </c>
      <c r="C1132" t="str">
        <f>"17878422953882925"</f>
        <v>17878422953882925</v>
      </c>
      <c r="D1132" t="s">
        <v>2384</v>
      </c>
      <c r="E1132" t="s">
        <v>2385</v>
      </c>
      <c r="F1132" t="s">
        <v>2301</v>
      </c>
      <c r="G1132" t="s">
        <v>2387</v>
      </c>
    </row>
    <row r="1133" spans="1:7" x14ac:dyDescent="0.25">
      <c r="A1133">
        <v>44241815031</v>
      </c>
      <c r="B1133" t="s">
        <v>2388</v>
      </c>
      <c r="C1133" t="str">
        <f>"17955882058471411"</f>
        <v>17955882058471411</v>
      </c>
      <c r="D1133" t="s">
        <v>2389</v>
      </c>
      <c r="E1133" t="s">
        <v>2390</v>
      </c>
      <c r="F1133" t="s">
        <v>2391</v>
      </c>
      <c r="G1133" t="s">
        <v>2392</v>
      </c>
    </row>
    <row r="1134" spans="1:7" x14ac:dyDescent="0.25">
      <c r="A1134">
        <v>44241815031</v>
      </c>
      <c r="B1134" t="s">
        <v>2388</v>
      </c>
      <c r="C1134" t="str">
        <f>"17955882058471411"</f>
        <v>17955882058471411</v>
      </c>
      <c r="D1134" t="s">
        <v>2389</v>
      </c>
      <c r="E1134" t="s">
        <v>2390</v>
      </c>
      <c r="F1134" t="s">
        <v>2391</v>
      </c>
      <c r="G1134" t="s">
        <v>2393</v>
      </c>
    </row>
    <row r="1135" spans="1:7" x14ac:dyDescent="0.25">
      <c r="A1135">
        <v>58453350297</v>
      </c>
      <c r="B1135" t="s">
        <v>2394</v>
      </c>
      <c r="C1135" t="str">
        <f>"17875459121896962"</f>
        <v>17875459121896962</v>
      </c>
      <c r="D1135" t="s">
        <v>2395</v>
      </c>
      <c r="E1135" t="s">
        <v>2396</v>
      </c>
      <c r="F1135" t="s">
        <v>2397</v>
      </c>
      <c r="G1135" t="s">
        <v>2398</v>
      </c>
    </row>
    <row r="1136" spans="1:7" x14ac:dyDescent="0.25">
      <c r="A1136">
        <v>58453350297</v>
      </c>
      <c r="B1136" t="s">
        <v>2394</v>
      </c>
      <c r="C1136" t="str">
        <f>"17875459121896962"</f>
        <v>17875459121896962</v>
      </c>
      <c r="D1136" t="s">
        <v>2395</v>
      </c>
      <c r="E1136" t="s">
        <v>2396</v>
      </c>
      <c r="F1136" t="s">
        <v>2397</v>
      </c>
      <c r="G1136" t="s">
        <v>2399</v>
      </c>
    </row>
    <row r="1137" spans="1:7" x14ac:dyDescent="0.25">
      <c r="A1137">
        <v>46974493892</v>
      </c>
      <c r="B1137" t="s">
        <v>2400</v>
      </c>
      <c r="C1137" t="str">
        <f>"17906008753969787"</f>
        <v>17906008753969787</v>
      </c>
      <c r="D1137" t="s">
        <v>2401</v>
      </c>
      <c r="E1137" t="s">
        <v>2402</v>
      </c>
      <c r="F1137" t="s">
        <v>2403</v>
      </c>
      <c r="G1137" t="s">
        <v>2404</v>
      </c>
    </row>
    <row r="1138" spans="1:7" x14ac:dyDescent="0.25">
      <c r="A1138">
        <v>46974493892</v>
      </c>
      <c r="B1138" t="s">
        <v>2400</v>
      </c>
      <c r="C1138" t="str">
        <f>"17906008753969787"</f>
        <v>17906008753969787</v>
      </c>
      <c r="D1138" t="s">
        <v>2401</v>
      </c>
      <c r="E1138" t="s">
        <v>2402</v>
      </c>
      <c r="F1138" t="s">
        <v>2403</v>
      </c>
      <c r="G1138" t="s">
        <v>2405</v>
      </c>
    </row>
    <row r="1139" spans="1:7" x14ac:dyDescent="0.25">
      <c r="A1139">
        <v>48880622563</v>
      </c>
      <c r="B1139" t="s">
        <v>2406</v>
      </c>
      <c r="C1139" t="str">
        <f>"17885430362424570"</f>
        <v>17885430362424570</v>
      </c>
      <c r="D1139" t="s">
        <v>2407</v>
      </c>
      <c r="E1139" t="s">
        <v>2408</v>
      </c>
      <c r="F1139" t="s">
        <v>2409</v>
      </c>
      <c r="G1139" t="s">
        <v>2410</v>
      </c>
    </row>
    <row r="1140" spans="1:7" x14ac:dyDescent="0.25">
      <c r="A1140">
        <v>48440643515</v>
      </c>
      <c r="B1140" t="s">
        <v>2411</v>
      </c>
      <c r="C1140" t="str">
        <f>"17914798114918644"</f>
        <v>17914798114918644</v>
      </c>
      <c r="D1140" t="s">
        <v>2412</v>
      </c>
      <c r="E1140" t="s">
        <v>2408</v>
      </c>
      <c r="F1140" t="s">
        <v>2413</v>
      </c>
      <c r="G1140" t="s">
        <v>2414</v>
      </c>
    </row>
    <row r="1141" spans="1:7" x14ac:dyDescent="0.25">
      <c r="A1141">
        <v>39696081387</v>
      </c>
      <c r="B1141" t="s">
        <v>2415</v>
      </c>
      <c r="C1141" t="str">
        <f>"18164285878091206"</f>
        <v>18164285878091206</v>
      </c>
      <c r="D1141" t="s">
        <v>2416</v>
      </c>
      <c r="E1141" t="s">
        <v>2417</v>
      </c>
      <c r="F1141" t="s">
        <v>2418</v>
      </c>
      <c r="G1141" t="s">
        <v>2419</v>
      </c>
    </row>
    <row r="1142" spans="1:7" x14ac:dyDescent="0.25">
      <c r="A1142">
        <v>48532726361</v>
      </c>
      <c r="B1142" t="s">
        <v>2420</v>
      </c>
      <c r="C1142" t="str">
        <f>"17964133696450868"</f>
        <v>17964133696450868</v>
      </c>
      <c r="D1142" t="s">
        <v>2421</v>
      </c>
      <c r="E1142" t="s">
        <v>2422</v>
      </c>
      <c r="F1142" t="s">
        <v>2423</v>
      </c>
      <c r="G1142" t="s">
        <v>2424</v>
      </c>
    </row>
    <row r="1143" spans="1:7" x14ac:dyDescent="0.25">
      <c r="A1143">
        <v>8635170319</v>
      </c>
      <c r="B1143" t="s">
        <v>2298</v>
      </c>
      <c r="C1143" t="str">
        <f>"18006806461745785"</f>
        <v>18006806461745785</v>
      </c>
      <c r="D1143" t="s">
        <v>2425</v>
      </c>
      <c r="E1143" t="s">
        <v>2426</v>
      </c>
      <c r="F1143" t="s">
        <v>2301</v>
      </c>
      <c r="G1143" t="s">
        <v>2427</v>
      </c>
    </row>
    <row r="1144" spans="1:7" x14ac:dyDescent="0.25">
      <c r="A1144">
        <v>184848500</v>
      </c>
      <c r="B1144" t="s">
        <v>2428</v>
      </c>
      <c r="C1144" t="str">
        <f>"17883537165131155"</f>
        <v>17883537165131155</v>
      </c>
      <c r="D1144" t="s">
        <v>2429</v>
      </c>
      <c r="E1144" t="s">
        <v>2430</v>
      </c>
      <c r="F1144" t="s">
        <v>2431</v>
      </c>
      <c r="G1144" t="s">
        <v>2432</v>
      </c>
    </row>
    <row r="1145" spans="1:7" x14ac:dyDescent="0.25">
      <c r="A1145">
        <v>211937483</v>
      </c>
      <c r="B1145" t="s">
        <v>2288</v>
      </c>
      <c r="C1145" t="str">
        <f>"18072859600582895"</f>
        <v>18072859600582895</v>
      </c>
      <c r="D1145" t="s">
        <v>2433</v>
      </c>
      <c r="E1145" t="s">
        <v>2434</v>
      </c>
      <c r="F1145" t="s">
        <v>2291</v>
      </c>
      <c r="G1145" t="s">
        <v>2435</v>
      </c>
    </row>
    <row r="1146" spans="1:7" x14ac:dyDescent="0.25">
      <c r="A1146">
        <v>211937483</v>
      </c>
      <c r="B1146" t="s">
        <v>2288</v>
      </c>
      <c r="C1146" t="str">
        <f>"18253002268264557"</f>
        <v>18253002268264557</v>
      </c>
      <c r="D1146" t="s">
        <v>2436</v>
      </c>
      <c r="E1146" t="s">
        <v>2437</v>
      </c>
      <c r="F1146" t="s">
        <v>2291</v>
      </c>
      <c r="G1146" t="s">
        <v>2435</v>
      </c>
    </row>
    <row r="1147" spans="1:7" x14ac:dyDescent="0.25">
      <c r="A1147">
        <v>182194469</v>
      </c>
      <c r="B1147" t="s">
        <v>2438</v>
      </c>
      <c r="C1147" t="str">
        <f>"18034110083048498"</f>
        <v>18034110083048498</v>
      </c>
      <c r="D1147" t="s">
        <v>2439</v>
      </c>
      <c r="E1147" t="s">
        <v>2440</v>
      </c>
      <c r="F1147" t="s">
        <v>2441</v>
      </c>
      <c r="G1147" t="s">
        <v>2442</v>
      </c>
    </row>
    <row r="1148" spans="1:7" x14ac:dyDescent="0.25">
      <c r="A1148">
        <v>1549494501</v>
      </c>
      <c r="B1148" t="s">
        <v>527</v>
      </c>
      <c r="C1148" t="str">
        <f>"17926636985952551"</f>
        <v>17926636985952551</v>
      </c>
      <c r="D1148" t="s">
        <v>2443</v>
      </c>
      <c r="E1148" t="s">
        <v>2444</v>
      </c>
      <c r="F1148" t="s">
        <v>530</v>
      </c>
      <c r="G1148" t="s">
        <v>2445</v>
      </c>
    </row>
    <row r="1149" spans="1:7" x14ac:dyDescent="0.25">
      <c r="A1149">
        <v>1549494501</v>
      </c>
      <c r="B1149" t="s">
        <v>527</v>
      </c>
      <c r="C1149" t="str">
        <f>"18071494492598212"</f>
        <v>18071494492598212</v>
      </c>
      <c r="D1149" t="s">
        <v>2446</v>
      </c>
      <c r="E1149" t="s">
        <v>2447</v>
      </c>
      <c r="F1149" t="s">
        <v>530</v>
      </c>
      <c r="G1149" t="s">
        <v>2445</v>
      </c>
    </row>
    <row r="1150" spans="1:7" x14ac:dyDescent="0.25">
      <c r="A1150">
        <v>61767123495</v>
      </c>
      <c r="B1150" t="s">
        <v>2448</v>
      </c>
      <c r="C1150" t="str">
        <f>"18254390023251264"</f>
        <v>18254390023251264</v>
      </c>
      <c r="D1150" t="s">
        <v>2449</v>
      </c>
      <c r="E1150" t="s">
        <v>2450</v>
      </c>
      <c r="F1150" t="s">
        <v>2451</v>
      </c>
      <c r="G1150" t="s">
        <v>2452</v>
      </c>
    </row>
    <row r="1151" spans="1:7" x14ac:dyDescent="0.25">
      <c r="A1151">
        <v>52024070348</v>
      </c>
      <c r="B1151" t="s">
        <v>2453</v>
      </c>
      <c r="C1151" t="str">
        <f>"18140538988351744"</f>
        <v>18140538988351744</v>
      </c>
      <c r="D1151" t="s">
        <v>2454</v>
      </c>
      <c r="E1151" t="s">
        <v>2455</v>
      </c>
      <c r="F1151" t="s">
        <v>2456</v>
      </c>
      <c r="G1151" t="s">
        <v>2457</v>
      </c>
    </row>
    <row r="1152" spans="1:7" x14ac:dyDescent="0.25">
      <c r="A1152">
        <v>1801205303</v>
      </c>
      <c r="B1152" t="s">
        <v>2274</v>
      </c>
      <c r="C1152" t="str">
        <f>"18021787025239745"</f>
        <v>18021787025239745</v>
      </c>
      <c r="D1152" t="s">
        <v>2458</v>
      </c>
      <c r="E1152" t="s">
        <v>2459</v>
      </c>
      <c r="F1152" t="s">
        <v>2277</v>
      </c>
      <c r="G1152" t="s">
        <v>2460</v>
      </c>
    </row>
    <row r="1153" spans="1:7" x14ac:dyDescent="0.25">
      <c r="A1153">
        <v>1348867244</v>
      </c>
      <c r="B1153" t="s">
        <v>2461</v>
      </c>
      <c r="C1153" t="str">
        <f>"17859973335200230"</f>
        <v>17859973335200230</v>
      </c>
      <c r="D1153" t="s">
        <v>2462</v>
      </c>
      <c r="E1153" t="s">
        <v>2463</v>
      </c>
      <c r="F1153" t="s">
        <v>2464</v>
      </c>
      <c r="G1153" t="s">
        <v>2465</v>
      </c>
    </row>
    <row r="1154" spans="1:7" x14ac:dyDescent="0.25">
      <c r="A1154">
        <v>58573587425</v>
      </c>
      <c r="B1154" t="s">
        <v>2466</v>
      </c>
      <c r="C1154" t="str">
        <f>"17924855603978321"</f>
        <v>17924855603978321</v>
      </c>
      <c r="D1154" t="s">
        <v>2467</v>
      </c>
      <c r="E1154" t="s">
        <v>2468</v>
      </c>
      <c r="F1154" t="s">
        <v>2469</v>
      </c>
      <c r="G1154" t="s">
        <v>2470</v>
      </c>
    </row>
    <row r="1155" spans="1:7" x14ac:dyDescent="0.25">
      <c r="A1155">
        <v>1549494501</v>
      </c>
      <c r="B1155" t="s">
        <v>527</v>
      </c>
      <c r="C1155" t="str">
        <f>"18124087513383591"</f>
        <v>18124087513383591</v>
      </c>
      <c r="D1155" t="s">
        <v>2471</v>
      </c>
      <c r="E1155" t="s">
        <v>2472</v>
      </c>
      <c r="F1155" t="s">
        <v>530</v>
      </c>
      <c r="G1155" t="s">
        <v>2473</v>
      </c>
    </row>
    <row r="1156" spans="1:7" x14ac:dyDescent="0.25">
      <c r="A1156">
        <v>1549494501</v>
      </c>
      <c r="B1156" t="s">
        <v>527</v>
      </c>
      <c r="C1156" t="str">
        <f>"18124087513383591"</f>
        <v>18124087513383591</v>
      </c>
      <c r="D1156" t="s">
        <v>2471</v>
      </c>
      <c r="E1156" t="s">
        <v>2472</v>
      </c>
      <c r="F1156" t="s">
        <v>530</v>
      </c>
      <c r="G1156" t="s">
        <v>2473</v>
      </c>
    </row>
    <row r="1157" spans="1:7" x14ac:dyDescent="0.25">
      <c r="A1157">
        <v>1549494501</v>
      </c>
      <c r="B1157" t="s">
        <v>527</v>
      </c>
      <c r="C1157" t="str">
        <f>"18065303944725119"</f>
        <v>18065303944725119</v>
      </c>
      <c r="D1157" t="s">
        <v>2474</v>
      </c>
      <c r="E1157" t="s">
        <v>2475</v>
      </c>
      <c r="F1157" t="s">
        <v>530</v>
      </c>
      <c r="G1157" t="s">
        <v>2476</v>
      </c>
    </row>
    <row r="1158" spans="1:7" x14ac:dyDescent="0.25">
      <c r="A1158">
        <v>1549494501</v>
      </c>
      <c r="B1158" t="s">
        <v>527</v>
      </c>
      <c r="C1158" t="str">
        <f>"18065303944725119"</f>
        <v>18065303944725119</v>
      </c>
      <c r="D1158" t="s">
        <v>2474</v>
      </c>
      <c r="E1158" t="s">
        <v>2475</v>
      </c>
      <c r="F1158" t="s">
        <v>530</v>
      </c>
      <c r="G1158" t="s">
        <v>2476</v>
      </c>
    </row>
    <row r="1159" spans="1:7" x14ac:dyDescent="0.25">
      <c r="A1159">
        <v>58573587425</v>
      </c>
      <c r="B1159" t="s">
        <v>2466</v>
      </c>
      <c r="C1159" t="str">
        <f>"17957272097720005"</f>
        <v>17957272097720005</v>
      </c>
      <c r="D1159" t="s">
        <v>2477</v>
      </c>
      <c r="E1159" t="s">
        <v>2478</v>
      </c>
      <c r="F1159" t="s">
        <v>2469</v>
      </c>
      <c r="G1159" t="s">
        <v>2479</v>
      </c>
    </row>
    <row r="1160" spans="1:7" x14ac:dyDescent="0.25">
      <c r="A1160">
        <v>1549494501</v>
      </c>
      <c r="B1160" t="s">
        <v>527</v>
      </c>
      <c r="C1160" t="str">
        <f>"18011660870397238"</f>
        <v>18011660870397238</v>
      </c>
      <c r="D1160" t="s">
        <v>2480</v>
      </c>
      <c r="E1160" t="s">
        <v>2481</v>
      </c>
      <c r="F1160" t="s">
        <v>530</v>
      </c>
      <c r="G1160" t="s">
        <v>2482</v>
      </c>
    </row>
    <row r="1161" spans="1:7" x14ac:dyDescent="0.25">
      <c r="A1161">
        <v>61767123495</v>
      </c>
      <c r="B1161" t="s">
        <v>2448</v>
      </c>
      <c r="C1161" t="str">
        <f>"18285098143232145"</f>
        <v>18285098143232145</v>
      </c>
      <c r="D1161" t="s">
        <v>2483</v>
      </c>
      <c r="E1161" t="s">
        <v>2484</v>
      </c>
      <c r="F1161" t="s">
        <v>2451</v>
      </c>
      <c r="G1161" t="s">
        <v>2485</v>
      </c>
    </row>
    <row r="1162" spans="1:7" x14ac:dyDescent="0.25">
      <c r="A1162">
        <v>58573587425</v>
      </c>
      <c r="B1162" t="s">
        <v>2466</v>
      </c>
      <c r="C1162" t="str">
        <f>"17957272097720005"</f>
        <v>17957272097720005</v>
      </c>
      <c r="D1162" t="s">
        <v>2477</v>
      </c>
      <c r="E1162" t="s">
        <v>2478</v>
      </c>
      <c r="F1162" t="s">
        <v>2469</v>
      </c>
      <c r="G1162" t="s">
        <v>2479</v>
      </c>
    </row>
    <row r="1163" spans="1:7" x14ac:dyDescent="0.25">
      <c r="A1163">
        <v>1549494501</v>
      </c>
      <c r="B1163" t="s">
        <v>527</v>
      </c>
      <c r="C1163" t="str">
        <f>"18011660870397238"</f>
        <v>18011660870397238</v>
      </c>
      <c r="D1163" t="s">
        <v>2480</v>
      </c>
      <c r="E1163" t="s">
        <v>2481</v>
      </c>
      <c r="F1163" t="s">
        <v>530</v>
      </c>
      <c r="G1163" t="s">
        <v>2482</v>
      </c>
    </row>
    <row r="1164" spans="1:7" x14ac:dyDescent="0.25">
      <c r="A1164">
        <v>61767123495</v>
      </c>
      <c r="B1164" t="s">
        <v>2448</v>
      </c>
      <c r="C1164" t="str">
        <f>"18285098143232145"</f>
        <v>18285098143232145</v>
      </c>
      <c r="D1164" t="s">
        <v>2483</v>
      </c>
      <c r="E1164" t="s">
        <v>2484</v>
      </c>
      <c r="F1164" t="s">
        <v>2451</v>
      </c>
      <c r="G1164" t="s">
        <v>2485</v>
      </c>
    </row>
    <row r="1165" spans="1:7" x14ac:dyDescent="0.25">
      <c r="A1165">
        <v>10254242014</v>
      </c>
      <c r="B1165" t="s">
        <v>2486</v>
      </c>
      <c r="C1165" t="str">
        <f>"18328003726092232"</f>
        <v>18328003726092232</v>
      </c>
      <c r="D1165" t="s">
        <v>2487</v>
      </c>
      <c r="E1165" t="s">
        <v>2488</v>
      </c>
      <c r="F1165" t="s">
        <v>2489</v>
      </c>
      <c r="G1165" t="s">
        <v>2490</v>
      </c>
    </row>
    <row r="1166" spans="1:7" x14ac:dyDescent="0.25">
      <c r="A1166">
        <v>10254242014</v>
      </c>
      <c r="B1166" t="s">
        <v>2486</v>
      </c>
      <c r="C1166" t="str">
        <f>"18328003726092232"</f>
        <v>18328003726092232</v>
      </c>
      <c r="D1166" t="s">
        <v>2487</v>
      </c>
      <c r="E1166" t="s">
        <v>2488</v>
      </c>
      <c r="F1166" t="s">
        <v>2489</v>
      </c>
      <c r="G1166" t="s">
        <v>2490</v>
      </c>
    </row>
    <row r="1167" spans="1:7" x14ac:dyDescent="0.25">
      <c r="A1167">
        <v>1549494501</v>
      </c>
      <c r="B1167" t="s">
        <v>527</v>
      </c>
      <c r="C1167" t="str">
        <f>"18041928917254529"</f>
        <v>18041928917254529</v>
      </c>
      <c r="D1167" t="s">
        <v>2491</v>
      </c>
      <c r="E1167" t="s">
        <v>2492</v>
      </c>
      <c r="F1167" t="s">
        <v>530</v>
      </c>
      <c r="G1167" t="s">
        <v>2493</v>
      </c>
    </row>
    <row r="1168" spans="1:7" x14ac:dyDescent="0.25">
      <c r="A1168">
        <v>6093609690</v>
      </c>
      <c r="B1168" t="s">
        <v>2494</v>
      </c>
      <c r="C1168" t="str">
        <f>"17977239785672293"</f>
        <v>17977239785672293</v>
      </c>
      <c r="D1168" t="s">
        <v>1949</v>
      </c>
      <c r="E1168" t="s">
        <v>2495</v>
      </c>
      <c r="F1168" t="s">
        <v>2496</v>
      </c>
      <c r="G1168" t="s">
        <v>2497</v>
      </c>
    </row>
    <row r="1169" spans="1:7" x14ac:dyDescent="0.25">
      <c r="A1169">
        <v>10254242014</v>
      </c>
      <c r="B1169" t="s">
        <v>2486</v>
      </c>
      <c r="C1169" t="str">
        <f>"18109528027458535"</f>
        <v>18109528027458535</v>
      </c>
      <c r="D1169" t="s">
        <v>2498</v>
      </c>
      <c r="E1169" t="s">
        <v>2499</v>
      </c>
      <c r="F1169" t="s">
        <v>2489</v>
      </c>
      <c r="G1169" t="s">
        <v>2500</v>
      </c>
    </row>
    <row r="1170" spans="1:7" x14ac:dyDescent="0.25">
      <c r="A1170">
        <v>1549494501</v>
      </c>
      <c r="B1170" t="s">
        <v>527</v>
      </c>
      <c r="C1170" t="str">
        <f>"18041928917254529"</f>
        <v>18041928917254529</v>
      </c>
      <c r="D1170" t="s">
        <v>2491</v>
      </c>
      <c r="E1170" t="s">
        <v>2492</v>
      </c>
      <c r="F1170" t="s">
        <v>530</v>
      </c>
      <c r="G1170" t="s">
        <v>2501</v>
      </c>
    </row>
    <row r="1171" spans="1:7" x14ac:dyDescent="0.25">
      <c r="A1171">
        <v>6093609690</v>
      </c>
      <c r="B1171" t="s">
        <v>2494</v>
      </c>
      <c r="C1171" t="str">
        <f>"17977239785672293"</f>
        <v>17977239785672293</v>
      </c>
      <c r="D1171" t="s">
        <v>1949</v>
      </c>
      <c r="E1171" t="s">
        <v>2495</v>
      </c>
      <c r="F1171" t="s">
        <v>2496</v>
      </c>
      <c r="G1171" t="s">
        <v>2502</v>
      </c>
    </row>
    <row r="1172" spans="1:7" x14ac:dyDescent="0.25">
      <c r="A1172">
        <v>10254242014</v>
      </c>
      <c r="B1172" t="s">
        <v>2486</v>
      </c>
      <c r="C1172" t="str">
        <f>"18109528027458535"</f>
        <v>18109528027458535</v>
      </c>
      <c r="D1172" t="s">
        <v>2498</v>
      </c>
      <c r="E1172" t="s">
        <v>2499</v>
      </c>
      <c r="F1172" t="s">
        <v>2489</v>
      </c>
      <c r="G1172" t="s">
        <v>2503</v>
      </c>
    </row>
    <row r="1173" spans="1:7" x14ac:dyDescent="0.25">
      <c r="A1173">
        <v>1549494501</v>
      </c>
      <c r="B1173" t="s">
        <v>527</v>
      </c>
      <c r="C1173" t="str">
        <f>"18294041455214819"</f>
        <v>18294041455214819</v>
      </c>
      <c r="D1173" t="s">
        <v>2504</v>
      </c>
      <c r="E1173" t="s">
        <v>2505</v>
      </c>
      <c r="F1173" t="s">
        <v>530</v>
      </c>
      <c r="G1173" t="s">
        <v>2506</v>
      </c>
    </row>
    <row r="1174" spans="1:7" x14ac:dyDescent="0.25">
      <c r="A1174">
        <v>10254242014</v>
      </c>
      <c r="B1174" t="s">
        <v>2486</v>
      </c>
      <c r="C1174" t="str">
        <f>"18089785927540941"</f>
        <v>18089785927540941</v>
      </c>
      <c r="D1174" t="s">
        <v>2507</v>
      </c>
      <c r="E1174" t="s">
        <v>2508</v>
      </c>
      <c r="F1174" t="s">
        <v>2489</v>
      </c>
      <c r="G1174" t="s">
        <v>2509</v>
      </c>
    </row>
    <row r="1175" spans="1:7" x14ac:dyDescent="0.25">
      <c r="A1175">
        <v>1521425425</v>
      </c>
      <c r="B1175" t="s">
        <v>2189</v>
      </c>
      <c r="C1175" t="str">
        <f>"17888653833190428"</f>
        <v>17888653833190428</v>
      </c>
      <c r="D1175" t="s">
        <v>2510</v>
      </c>
      <c r="E1175" t="s">
        <v>2511</v>
      </c>
      <c r="F1175" t="s">
        <v>2191</v>
      </c>
      <c r="G1175" t="s">
        <v>2512</v>
      </c>
    </row>
    <row r="1176" spans="1:7" x14ac:dyDescent="0.25">
      <c r="A1176">
        <v>1549494501</v>
      </c>
      <c r="B1176" t="s">
        <v>527</v>
      </c>
      <c r="C1176" t="str">
        <f>"18119830825382488"</f>
        <v>18119830825382488</v>
      </c>
      <c r="D1176" t="s">
        <v>2513</v>
      </c>
      <c r="E1176" t="s">
        <v>2514</v>
      </c>
      <c r="F1176" t="s">
        <v>530</v>
      </c>
      <c r="G1176" t="s">
        <v>2515</v>
      </c>
    </row>
    <row r="1177" spans="1:7" x14ac:dyDescent="0.25">
      <c r="A1177">
        <v>1521425425</v>
      </c>
      <c r="B1177" t="s">
        <v>2189</v>
      </c>
      <c r="C1177" t="str">
        <f>"17888653833190428"</f>
        <v>17888653833190428</v>
      </c>
      <c r="D1177" t="s">
        <v>2510</v>
      </c>
      <c r="E1177" t="s">
        <v>2511</v>
      </c>
      <c r="F1177" t="s">
        <v>2191</v>
      </c>
      <c r="G1177" t="s">
        <v>2516</v>
      </c>
    </row>
    <row r="1178" spans="1:7" x14ac:dyDescent="0.25">
      <c r="A1178">
        <v>1549494501</v>
      </c>
      <c r="B1178" t="s">
        <v>527</v>
      </c>
      <c r="C1178" t="str">
        <f>"18119830825382488"</f>
        <v>18119830825382488</v>
      </c>
      <c r="D1178" t="s">
        <v>2513</v>
      </c>
      <c r="E1178" t="s">
        <v>2514</v>
      </c>
      <c r="F1178" t="s">
        <v>530</v>
      </c>
      <c r="G1178" t="s">
        <v>2517</v>
      </c>
    </row>
    <row r="1179" spans="1:7" x14ac:dyDescent="0.25">
      <c r="A1179">
        <v>10254242014</v>
      </c>
      <c r="B1179" t="s">
        <v>2486</v>
      </c>
      <c r="C1179" t="str">
        <f>"17995522202598552"</f>
        <v>17995522202598552</v>
      </c>
      <c r="D1179" t="s">
        <v>2507</v>
      </c>
      <c r="E1179" t="s">
        <v>2518</v>
      </c>
      <c r="F1179" t="s">
        <v>2489</v>
      </c>
      <c r="G1179" t="s">
        <v>2519</v>
      </c>
    </row>
    <row r="1180" spans="1:7" x14ac:dyDescent="0.25">
      <c r="A1180">
        <v>10254242014</v>
      </c>
      <c r="B1180" t="s">
        <v>2486</v>
      </c>
      <c r="C1180" t="str">
        <f>"17995522202598552"</f>
        <v>17995522202598552</v>
      </c>
      <c r="D1180" t="s">
        <v>2507</v>
      </c>
      <c r="E1180" t="s">
        <v>2518</v>
      </c>
      <c r="F1180" t="s">
        <v>2489</v>
      </c>
      <c r="G1180" t="s">
        <v>2519</v>
      </c>
    </row>
    <row r="1181" spans="1:7" x14ac:dyDescent="0.25">
      <c r="A1181">
        <v>10254242014</v>
      </c>
      <c r="B1181" t="s">
        <v>2486</v>
      </c>
      <c r="C1181" t="str">
        <f>"18092112727469718"</f>
        <v>18092112727469718</v>
      </c>
      <c r="D1181" t="s">
        <v>2520</v>
      </c>
      <c r="E1181" t="s">
        <v>2521</v>
      </c>
      <c r="F1181" t="s">
        <v>2489</v>
      </c>
      <c r="G1181" t="s">
        <v>2522</v>
      </c>
    </row>
    <row r="1182" spans="1:7" x14ac:dyDescent="0.25">
      <c r="A1182">
        <v>10254242014</v>
      </c>
      <c r="B1182" t="s">
        <v>2486</v>
      </c>
      <c r="C1182" t="str">
        <f>"18092112727469718"</f>
        <v>18092112727469718</v>
      </c>
      <c r="D1182" t="s">
        <v>2520</v>
      </c>
      <c r="E1182" t="s">
        <v>2521</v>
      </c>
      <c r="F1182" t="s">
        <v>2489</v>
      </c>
      <c r="G1182" t="s">
        <v>2522</v>
      </c>
    </row>
    <row r="1183" spans="1:7" x14ac:dyDescent="0.25">
      <c r="A1183">
        <v>10254242014</v>
      </c>
      <c r="B1183" t="s">
        <v>2486</v>
      </c>
      <c r="C1183" t="str">
        <f>"18073179742673411"</f>
        <v>18073179742673411</v>
      </c>
      <c r="D1183" t="s">
        <v>2523</v>
      </c>
      <c r="E1183" t="s">
        <v>2524</v>
      </c>
      <c r="F1183" t="s">
        <v>2489</v>
      </c>
      <c r="G1183" t="s">
        <v>2525</v>
      </c>
    </row>
    <row r="1184" spans="1:7" x14ac:dyDescent="0.25">
      <c r="A1184">
        <v>10254242014</v>
      </c>
      <c r="B1184" t="s">
        <v>2486</v>
      </c>
      <c r="C1184" t="str">
        <f>"18073179742673411"</f>
        <v>18073179742673411</v>
      </c>
      <c r="D1184" t="s">
        <v>2523</v>
      </c>
      <c r="E1184" t="s">
        <v>2524</v>
      </c>
      <c r="F1184" t="s">
        <v>2489</v>
      </c>
      <c r="G1184" t="s">
        <v>2526</v>
      </c>
    </row>
    <row r="1185" spans="1:7" x14ac:dyDescent="0.25">
      <c r="A1185">
        <v>10254242014</v>
      </c>
      <c r="B1185" t="s">
        <v>2486</v>
      </c>
      <c r="C1185" t="str">
        <f>"18073179742673411"</f>
        <v>18073179742673411</v>
      </c>
      <c r="D1185" t="s">
        <v>2523</v>
      </c>
      <c r="E1185" t="s">
        <v>2524</v>
      </c>
      <c r="F1185" t="s">
        <v>2489</v>
      </c>
      <c r="G1185" t="s">
        <v>2525</v>
      </c>
    </row>
    <row r="1186" spans="1:7" x14ac:dyDescent="0.25">
      <c r="A1186">
        <v>3677979934</v>
      </c>
      <c r="B1186" t="s">
        <v>430</v>
      </c>
      <c r="C1186" t="str">
        <f>"18300623293227348"</f>
        <v>18300623293227348</v>
      </c>
      <c r="D1186" t="s">
        <v>2527</v>
      </c>
      <c r="E1186" t="s">
        <v>2528</v>
      </c>
      <c r="F1186" t="s">
        <v>433</v>
      </c>
      <c r="G1186" t="s">
        <v>2529</v>
      </c>
    </row>
    <row r="1187" spans="1:7" x14ac:dyDescent="0.25">
      <c r="A1187">
        <v>10254242014</v>
      </c>
      <c r="B1187" t="s">
        <v>2486</v>
      </c>
      <c r="C1187" t="str">
        <f>"18117899245437121"</f>
        <v>18117899245437121</v>
      </c>
      <c r="D1187" t="s">
        <v>2507</v>
      </c>
      <c r="E1187" t="s">
        <v>2530</v>
      </c>
      <c r="F1187" t="s">
        <v>2489</v>
      </c>
      <c r="G1187" t="s">
        <v>2531</v>
      </c>
    </row>
    <row r="1188" spans="1:7" x14ac:dyDescent="0.25">
      <c r="A1188">
        <v>1504725424</v>
      </c>
      <c r="B1188" t="s">
        <v>2532</v>
      </c>
      <c r="C1188" t="str">
        <f>"18034596839578409"</f>
        <v>18034596839578409</v>
      </c>
      <c r="D1188" t="s">
        <v>2533</v>
      </c>
      <c r="E1188" t="s">
        <v>2534</v>
      </c>
      <c r="F1188" t="s">
        <v>2535</v>
      </c>
      <c r="G1188" t="s">
        <v>2536</v>
      </c>
    </row>
    <row r="1189" spans="1:7" x14ac:dyDescent="0.25">
      <c r="A1189">
        <v>1531899332</v>
      </c>
      <c r="B1189" t="s">
        <v>2537</v>
      </c>
      <c r="C1189" t="str">
        <f>"17942185154959285"</f>
        <v>17942185154959285</v>
      </c>
      <c r="D1189" t="s">
        <v>2538</v>
      </c>
      <c r="E1189" t="s">
        <v>2539</v>
      </c>
      <c r="F1189" t="s">
        <v>2540</v>
      </c>
      <c r="G1189" t="s">
        <v>2541</v>
      </c>
    </row>
    <row r="1190" spans="1:7" x14ac:dyDescent="0.25">
      <c r="A1190">
        <v>5426410592</v>
      </c>
      <c r="B1190" t="s">
        <v>2542</v>
      </c>
      <c r="C1190" t="str">
        <f>"18036185630381862"</f>
        <v>18036185630381862</v>
      </c>
      <c r="D1190" t="s">
        <v>2543</v>
      </c>
      <c r="E1190" t="s">
        <v>2544</v>
      </c>
      <c r="F1190" t="s">
        <v>2545</v>
      </c>
      <c r="G1190" t="s">
        <v>2546</v>
      </c>
    </row>
    <row r="1191" spans="1:7" x14ac:dyDescent="0.25">
      <c r="A1191">
        <v>8494250596</v>
      </c>
      <c r="B1191" t="s">
        <v>2547</v>
      </c>
      <c r="C1191" t="str">
        <f>"18018017345477940"</f>
        <v>18018017345477940</v>
      </c>
      <c r="D1191" t="s">
        <v>2548</v>
      </c>
      <c r="E1191" t="s">
        <v>2549</v>
      </c>
      <c r="F1191" t="s">
        <v>2550</v>
      </c>
      <c r="G1191" t="s">
        <v>2551</v>
      </c>
    </row>
    <row r="1192" spans="1:7" x14ac:dyDescent="0.25">
      <c r="A1192">
        <v>8494250596</v>
      </c>
      <c r="B1192" t="s">
        <v>2547</v>
      </c>
      <c r="C1192" t="str">
        <f>"18311125585206247"</f>
        <v>18311125585206247</v>
      </c>
      <c r="D1192" t="s">
        <v>2552</v>
      </c>
      <c r="E1192" t="s">
        <v>2553</v>
      </c>
      <c r="F1192" t="s">
        <v>2550</v>
      </c>
      <c r="G1192" t="s">
        <v>2551</v>
      </c>
    </row>
    <row r="1193" spans="1:7" x14ac:dyDescent="0.25">
      <c r="A1193">
        <v>177328612</v>
      </c>
      <c r="B1193" t="s">
        <v>2554</v>
      </c>
      <c r="C1193" t="str">
        <f>"18050942924145908"</f>
        <v>18050942924145908</v>
      </c>
      <c r="D1193" t="s">
        <v>2555</v>
      </c>
      <c r="E1193" t="s">
        <v>2556</v>
      </c>
      <c r="F1193" t="s">
        <v>2557</v>
      </c>
      <c r="G1193" t="s">
        <v>2558</v>
      </c>
    </row>
    <row r="1194" spans="1:7" x14ac:dyDescent="0.25">
      <c r="A1194">
        <v>8494250596</v>
      </c>
      <c r="B1194" t="s">
        <v>2547</v>
      </c>
      <c r="C1194" t="str">
        <f>"17996571641594340"</f>
        <v>17996571641594340</v>
      </c>
      <c r="D1194" t="s">
        <v>2559</v>
      </c>
      <c r="E1194" t="s">
        <v>2560</v>
      </c>
      <c r="F1194" t="s">
        <v>2550</v>
      </c>
      <c r="G1194" t="s">
        <v>2551</v>
      </c>
    </row>
    <row r="1195" spans="1:7" x14ac:dyDescent="0.25">
      <c r="A1195">
        <v>1549494501</v>
      </c>
      <c r="B1195" t="s">
        <v>527</v>
      </c>
      <c r="C1195" t="str">
        <f>"18043251890363854"</f>
        <v>18043251890363854</v>
      </c>
      <c r="D1195" t="s">
        <v>2561</v>
      </c>
      <c r="E1195" t="s">
        <v>2562</v>
      </c>
      <c r="F1195" t="s">
        <v>530</v>
      </c>
      <c r="G1195" t="s">
        <v>2563</v>
      </c>
    </row>
    <row r="1196" spans="1:7" x14ac:dyDescent="0.25">
      <c r="A1196">
        <v>70892697862</v>
      </c>
      <c r="B1196" t="s">
        <v>2564</v>
      </c>
      <c r="C1196" t="str">
        <f>"18129930943393048"</f>
        <v>18129930943393048</v>
      </c>
      <c r="D1196" t="s">
        <v>2565</v>
      </c>
      <c r="E1196" t="s">
        <v>2566</v>
      </c>
      <c r="F1196" t="s">
        <v>2567</v>
      </c>
      <c r="G1196" t="s">
        <v>2568</v>
      </c>
    </row>
    <row r="1197" spans="1:7" x14ac:dyDescent="0.25">
      <c r="A1197">
        <v>8710931063</v>
      </c>
      <c r="B1197" t="s">
        <v>2569</v>
      </c>
      <c r="C1197" t="str">
        <f>"18500630401054827"</f>
        <v>18500630401054827</v>
      </c>
      <c r="D1197" t="s">
        <v>2570</v>
      </c>
      <c r="E1197" t="s">
        <v>2571</v>
      </c>
      <c r="F1197" t="s">
        <v>2572</v>
      </c>
      <c r="G1197" t="s">
        <v>2573</v>
      </c>
    </row>
    <row r="1198" spans="1:7" x14ac:dyDescent="0.25">
      <c r="A1198">
        <v>4006630712</v>
      </c>
      <c r="B1198" t="s">
        <v>2574</v>
      </c>
      <c r="C1198" t="str">
        <f>"18374120335138649"</f>
        <v>18374120335138649</v>
      </c>
      <c r="D1198" t="s">
        <v>759</v>
      </c>
      <c r="E1198" t="s">
        <v>2575</v>
      </c>
      <c r="F1198" t="s">
        <v>2576</v>
      </c>
      <c r="G1198" t="s">
        <v>2577</v>
      </c>
    </row>
    <row r="1199" spans="1:7" x14ac:dyDescent="0.25">
      <c r="A1199">
        <v>4006630712</v>
      </c>
      <c r="B1199" t="s">
        <v>2574</v>
      </c>
      <c r="C1199" t="str">
        <f>"18374120335138649"</f>
        <v>18374120335138649</v>
      </c>
      <c r="D1199" t="s">
        <v>759</v>
      </c>
      <c r="E1199" t="s">
        <v>2575</v>
      </c>
      <c r="F1199" t="s">
        <v>2576</v>
      </c>
      <c r="G1199" t="s">
        <v>2577</v>
      </c>
    </row>
    <row r="1200" spans="1:7" x14ac:dyDescent="0.25">
      <c r="A1200">
        <v>1549494501</v>
      </c>
      <c r="B1200" t="s">
        <v>527</v>
      </c>
      <c r="C1200" t="str">
        <f>"17952299810945909"</f>
        <v>17952299810945909</v>
      </c>
      <c r="D1200" t="s">
        <v>2578</v>
      </c>
      <c r="E1200" t="s">
        <v>2579</v>
      </c>
      <c r="F1200" t="s">
        <v>530</v>
      </c>
      <c r="G1200" t="s">
        <v>2580</v>
      </c>
    </row>
    <row r="1201" spans="1:7" x14ac:dyDescent="0.25">
      <c r="A1201">
        <v>406985878</v>
      </c>
      <c r="B1201" t="s">
        <v>2581</v>
      </c>
      <c r="C1201" t="str">
        <f>"18171745501329222"</f>
        <v>18171745501329222</v>
      </c>
      <c r="D1201" t="s">
        <v>2582</v>
      </c>
      <c r="E1201" t="s">
        <v>2583</v>
      </c>
      <c r="F1201" t="s">
        <v>2584</v>
      </c>
      <c r="G1201" t="s">
        <v>2585</v>
      </c>
    </row>
    <row r="1202" spans="1:7" x14ac:dyDescent="0.25">
      <c r="A1202">
        <v>406985878</v>
      </c>
      <c r="B1202" t="s">
        <v>2581</v>
      </c>
      <c r="C1202" t="str">
        <f>"17946349796990531"</f>
        <v>17946349796990531</v>
      </c>
      <c r="D1202" t="s">
        <v>2586</v>
      </c>
      <c r="E1202" t="s">
        <v>2587</v>
      </c>
      <c r="F1202" t="s">
        <v>2584</v>
      </c>
      <c r="G1202" t="s">
        <v>2585</v>
      </c>
    </row>
    <row r="1203" spans="1:7" x14ac:dyDescent="0.25">
      <c r="A1203">
        <v>1549494501</v>
      </c>
      <c r="B1203" t="s">
        <v>527</v>
      </c>
      <c r="C1203" t="str">
        <f>"18005425139766216"</f>
        <v>18005425139766216</v>
      </c>
      <c r="D1203" t="s">
        <v>2588</v>
      </c>
      <c r="E1203" t="s">
        <v>2589</v>
      </c>
      <c r="F1203" t="s">
        <v>530</v>
      </c>
      <c r="G1203" t="s">
        <v>2590</v>
      </c>
    </row>
    <row r="1204" spans="1:7" x14ac:dyDescent="0.25">
      <c r="A1204">
        <v>1549494501</v>
      </c>
      <c r="B1204" t="s">
        <v>527</v>
      </c>
      <c r="C1204" t="str">
        <f>"18005425139766216"</f>
        <v>18005425139766216</v>
      </c>
      <c r="D1204" t="s">
        <v>2588</v>
      </c>
      <c r="E1204" t="s">
        <v>2589</v>
      </c>
      <c r="F1204" t="s">
        <v>530</v>
      </c>
      <c r="G1204" t="s">
        <v>2591</v>
      </c>
    </row>
    <row r="1205" spans="1:7" x14ac:dyDescent="0.25">
      <c r="A1205">
        <v>58651229481</v>
      </c>
      <c r="B1205" t="s">
        <v>2592</v>
      </c>
      <c r="C1205" t="str">
        <f>"17971879901828928"</f>
        <v>17971879901828928</v>
      </c>
      <c r="D1205" t="s">
        <v>2593</v>
      </c>
      <c r="E1205" t="s">
        <v>2594</v>
      </c>
      <c r="F1205" t="s">
        <v>2595</v>
      </c>
      <c r="G1205" t="s">
        <v>2596</v>
      </c>
    </row>
    <row r="1206" spans="1:7" x14ac:dyDescent="0.25">
      <c r="A1206">
        <v>3677979934</v>
      </c>
      <c r="B1206" t="s">
        <v>430</v>
      </c>
      <c r="C1206" t="str">
        <f>"17994762839731079"</f>
        <v>17994762839731079</v>
      </c>
      <c r="D1206" t="s">
        <v>2597</v>
      </c>
      <c r="E1206" t="s">
        <v>2598</v>
      </c>
      <c r="F1206" t="s">
        <v>433</v>
      </c>
      <c r="G1206" t="s">
        <v>2599</v>
      </c>
    </row>
    <row r="1207" spans="1:7" x14ac:dyDescent="0.25">
      <c r="A1207">
        <v>34475543651</v>
      </c>
      <c r="B1207" t="s">
        <v>2348</v>
      </c>
      <c r="C1207" t="str">
        <f>"18078635092808746"</f>
        <v>18078635092808746</v>
      </c>
      <c r="D1207" t="s">
        <v>2600</v>
      </c>
      <c r="E1207" t="s">
        <v>2601</v>
      </c>
      <c r="F1207" t="s">
        <v>2351</v>
      </c>
      <c r="G1207" t="s">
        <v>2602</v>
      </c>
    </row>
    <row r="1208" spans="1:7" x14ac:dyDescent="0.25">
      <c r="A1208">
        <v>16625009901</v>
      </c>
      <c r="B1208" t="s">
        <v>2603</v>
      </c>
      <c r="C1208" t="str">
        <f>"18011152529551546"</f>
        <v>18011152529551546</v>
      </c>
      <c r="D1208" t="s">
        <v>2604</v>
      </c>
      <c r="E1208" t="s">
        <v>2605</v>
      </c>
      <c r="F1208" t="s">
        <v>2606</v>
      </c>
      <c r="G1208" t="s">
        <v>2607</v>
      </c>
    </row>
    <row r="1209" spans="1:7" x14ac:dyDescent="0.25">
      <c r="A1209">
        <v>34475543651</v>
      </c>
      <c r="B1209" t="s">
        <v>2348</v>
      </c>
      <c r="C1209" t="str">
        <f>"18078635092808746"</f>
        <v>18078635092808746</v>
      </c>
      <c r="D1209" t="s">
        <v>2600</v>
      </c>
      <c r="E1209" t="s">
        <v>2601</v>
      </c>
      <c r="F1209" t="s">
        <v>2351</v>
      </c>
      <c r="G1209" t="s">
        <v>2608</v>
      </c>
    </row>
    <row r="1210" spans="1:7" x14ac:dyDescent="0.25">
      <c r="A1210">
        <v>16625009901</v>
      </c>
      <c r="B1210" t="s">
        <v>2603</v>
      </c>
      <c r="C1210" t="str">
        <f>"18011152529551546"</f>
        <v>18011152529551546</v>
      </c>
      <c r="D1210" t="s">
        <v>2604</v>
      </c>
      <c r="E1210" t="s">
        <v>2605</v>
      </c>
      <c r="F1210" t="s">
        <v>2606</v>
      </c>
      <c r="G1210" t="s">
        <v>2609</v>
      </c>
    </row>
    <row r="1211" spans="1:7" x14ac:dyDescent="0.25">
      <c r="A1211">
        <v>34475543651</v>
      </c>
      <c r="B1211" t="s">
        <v>2348</v>
      </c>
      <c r="C1211" t="str">
        <f>"18065809517000066"</f>
        <v>18065809517000066</v>
      </c>
      <c r="D1211" t="s">
        <v>2600</v>
      </c>
      <c r="E1211" t="s">
        <v>2610</v>
      </c>
      <c r="F1211" t="s">
        <v>2351</v>
      </c>
      <c r="G1211" t="s">
        <v>2611</v>
      </c>
    </row>
    <row r="1212" spans="1:7" x14ac:dyDescent="0.25">
      <c r="A1212">
        <v>614492805</v>
      </c>
      <c r="B1212" t="s">
        <v>2612</v>
      </c>
      <c r="C1212" t="str">
        <f>"17958290309800379"</f>
        <v>17958290309800379</v>
      </c>
      <c r="D1212" t="s">
        <v>2520</v>
      </c>
      <c r="E1212" t="s">
        <v>2613</v>
      </c>
      <c r="F1212" t="s">
        <v>2614</v>
      </c>
      <c r="G1212" t="s">
        <v>2615</v>
      </c>
    </row>
    <row r="1213" spans="1:7" x14ac:dyDescent="0.25">
      <c r="A1213">
        <v>8988270264</v>
      </c>
      <c r="B1213" t="s">
        <v>2616</v>
      </c>
      <c r="C1213" t="str">
        <f>"17934949146014032"</f>
        <v>17934949146014032</v>
      </c>
      <c r="D1213" t="s">
        <v>2617</v>
      </c>
      <c r="E1213" t="s">
        <v>2618</v>
      </c>
      <c r="F1213" t="s">
        <v>2619</v>
      </c>
      <c r="G1213" t="s">
        <v>2620</v>
      </c>
    </row>
    <row r="1214" spans="1:7" x14ac:dyDescent="0.25">
      <c r="A1214">
        <v>4787136198</v>
      </c>
      <c r="B1214" t="s">
        <v>2621</v>
      </c>
      <c r="C1214" t="str">
        <f>"17923217382067837"</f>
        <v>17923217382067837</v>
      </c>
      <c r="D1214" t="s">
        <v>2622</v>
      </c>
      <c r="E1214" t="s">
        <v>2623</v>
      </c>
      <c r="F1214" t="s">
        <v>2624</v>
      </c>
      <c r="G1214" t="s">
        <v>2625</v>
      </c>
    </row>
    <row r="1215" spans="1:7" x14ac:dyDescent="0.25">
      <c r="A1215">
        <v>4787136198</v>
      </c>
      <c r="B1215" t="s">
        <v>2621</v>
      </c>
      <c r="C1215" t="str">
        <f>"17923217382067837"</f>
        <v>17923217382067837</v>
      </c>
      <c r="D1215" t="s">
        <v>2622</v>
      </c>
      <c r="E1215" t="s">
        <v>2623</v>
      </c>
      <c r="F1215" t="s">
        <v>2624</v>
      </c>
      <c r="G1215" t="s">
        <v>2625</v>
      </c>
    </row>
    <row r="1216" spans="1:7" x14ac:dyDescent="0.25">
      <c r="A1216">
        <v>13275241334</v>
      </c>
      <c r="B1216" t="s">
        <v>2626</v>
      </c>
      <c r="C1216" t="str">
        <f>"17916645375140217"</f>
        <v>17916645375140217</v>
      </c>
      <c r="D1216" t="s">
        <v>2627</v>
      </c>
      <c r="E1216" t="s">
        <v>2628</v>
      </c>
      <c r="F1216" t="s">
        <v>2629</v>
      </c>
      <c r="G1216" t="s">
        <v>2630</v>
      </c>
    </row>
    <row r="1217" spans="1:7" x14ac:dyDescent="0.25">
      <c r="A1217">
        <v>3677979934</v>
      </c>
      <c r="B1217" t="s">
        <v>430</v>
      </c>
      <c r="C1217" t="str">
        <f>"18065992253173653"</f>
        <v>18065992253173653</v>
      </c>
      <c r="D1217" t="s">
        <v>2631</v>
      </c>
      <c r="E1217" t="s">
        <v>2632</v>
      </c>
      <c r="F1217" t="s">
        <v>433</v>
      </c>
      <c r="G1217" t="s">
        <v>2633</v>
      </c>
    </row>
    <row r="1218" spans="1:7" x14ac:dyDescent="0.25">
      <c r="A1218">
        <v>3624180963</v>
      </c>
      <c r="B1218" t="s">
        <v>2085</v>
      </c>
      <c r="C1218" t="str">
        <f>"18145551871402124"</f>
        <v>18145551871402124</v>
      </c>
      <c r="D1218" t="s">
        <v>986</v>
      </c>
      <c r="E1218" t="s">
        <v>2634</v>
      </c>
      <c r="F1218" t="s">
        <v>2087</v>
      </c>
      <c r="G1218" t="s">
        <v>2635</v>
      </c>
    </row>
    <row r="1219" spans="1:7" x14ac:dyDescent="0.25">
      <c r="A1219">
        <v>3677979934</v>
      </c>
      <c r="B1219" t="s">
        <v>430</v>
      </c>
      <c r="C1219" t="str">
        <f>"18061276805019793"</f>
        <v>18061276805019793</v>
      </c>
      <c r="D1219" t="s">
        <v>2636</v>
      </c>
      <c r="E1219" t="s">
        <v>2637</v>
      </c>
      <c r="F1219" t="s">
        <v>433</v>
      </c>
      <c r="G1219" t="s">
        <v>2633</v>
      </c>
    </row>
    <row r="1220" spans="1:7" x14ac:dyDescent="0.25">
      <c r="A1220">
        <v>34475543651</v>
      </c>
      <c r="B1220" t="s">
        <v>2348</v>
      </c>
      <c r="C1220" t="str">
        <f>"17987335088833841"</f>
        <v>17987335088833841</v>
      </c>
      <c r="D1220" t="s">
        <v>2600</v>
      </c>
      <c r="E1220" t="s">
        <v>2638</v>
      </c>
      <c r="F1220" t="s">
        <v>2351</v>
      </c>
      <c r="G1220" t="s">
        <v>2639</v>
      </c>
    </row>
    <row r="1221" spans="1:7" x14ac:dyDescent="0.25">
      <c r="A1221">
        <v>34475543651</v>
      </c>
      <c r="B1221" t="s">
        <v>2348</v>
      </c>
      <c r="C1221" t="str">
        <f>"17987335088833841"</f>
        <v>17987335088833841</v>
      </c>
      <c r="D1221" t="s">
        <v>2600</v>
      </c>
      <c r="E1221" t="s">
        <v>2638</v>
      </c>
      <c r="F1221" t="s">
        <v>2351</v>
      </c>
      <c r="G1221" t="s">
        <v>2640</v>
      </c>
    </row>
    <row r="1222" spans="1:7" x14ac:dyDescent="0.25">
      <c r="A1222">
        <v>34475543651</v>
      </c>
      <c r="B1222" t="s">
        <v>2348</v>
      </c>
      <c r="C1222" t="str">
        <f>"17987335088833841"</f>
        <v>17987335088833841</v>
      </c>
      <c r="D1222" t="s">
        <v>2600</v>
      </c>
      <c r="E1222" t="s">
        <v>2638</v>
      </c>
      <c r="F1222" t="s">
        <v>2351</v>
      </c>
      <c r="G1222" t="s">
        <v>2641</v>
      </c>
    </row>
    <row r="1223" spans="1:7" x14ac:dyDescent="0.25">
      <c r="A1223">
        <v>13275241334</v>
      </c>
      <c r="B1223" t="s">
        <v>2626</v>
      </c>
      <c r="C1223" t="str">
        <f>"18141184744416815"</f>
        <v>18141184744416815</v>
      </c>
      <c r="D1223" t="s">
        <v>2642</v>
      </c>
      <c r="E1223" t="s">
        <v>2643</v>
      </c>
      <c r="F1223" t="s">
        <v>2629</v>
      </c>
      <c r="G1223" t="s">
        <v>2644</v>
      </c>
    </row>
    <row r="1224" spans="1:7" x14ac:dyDescent="0.25">
      <c r="A1224">
        <v>70892697862</v>
      </c>
      <c r="B1224" t="s">
        <v>2564</v>
      </c>
      <c r="C1224" t="str">
        <f>"18037130555439177"</f>
        <v>18037130555439177</v>
      </c>
      <c r="D1224" t="s">
        <v>2645</v>
      </c>
      <c r="E1224" t="s">
        <v>2646</v>
      </c>
      <c r="F1224" t="s">
        <v>2567</v>
      </c>
      <c r="G1224" t="s">
        <v>2647</v>
      </c>
    </row>
    <row r="1225" spans="1:7" x14ac:dyDescent="0.25">
      <c r="A1225">
        <v>70892697862</v>
      </c>
      <c r="B1225" t="s">
        <v>2564</v>
      </c>
      <c r="C1225" t="str">
        <f>"18037130555439177"</f>
        <v>18037130555439177</v>
      </c>
      <c r="D1225" t="s">
        <v>2645</v>
      </c>
      <c r="E1225" t="s">
        <v>2646</v>
      </c>
      <c r="F1225" t="s">
        <v>2567</v>
      </c>
      <c r="G1225" t="s">
        <v>2647</v>
      </c>
    </row>
    <row r="1226" spans="1:7" x14ac:dyDescent="0.25">
      <c r="A1226">
        <v>6800888162</v>
      </c>
      <c r="B1226" t="s">
        <v>2648</v>
      </c>
      <c r="C1226" t="str">
        <f>"18095865283839488"</f>
        <v>18095865283839488</v>
      </c>
      <c r="D1226" t="s">
        <v>2649</v>
      </c>
      <c r="E1226" t="s">
        <v>2650</v>
      </c>
      <c r="F1226" t="s">
        <v>2651</v>
      </c>
      <c r="G1226" t="s">
        <v>2652</v>
      </c>
    </row>
    <row r="1227" spans="1:7" x14ac:dyDescent="0.25">
      <c r="A1227">
        <v>6800888162</v>
      </c>
      <c r="B1227" t="s">
        <v>2648</v>
      </c>
      <c r="C1227" t="str">
        <f>"18095865283839488"</f>
        <v>18095865283839488</v>
      </c>
      <c r="D1227" t="s">
        <v>2649</v>
      </c>
      <c r="E1227" t="s">
        <v>2650</v>
      </c>
      <c r="F1227" t="s">
        <v>2651</v>
      </c>
      <c r="G1227" t="s">
        <v>2653</v>
      </c>
    </row>
    <row r="1228" spans="1:7" x14ac:dyDescent="0.25">
      <c r="A1228">
        <v>6800888162</v>
      </c>
      <c r="B1228" t="s">
        <v>2648</v>
      </c>
      <c r="C1228" t="str">
        <f>"18095865283839488"</f>
        <v>18095865283839488</v>
      </c>
      <c r="D1228" t="s">
        <v>2649</v>
      </c>
      <c r="E1228" t="s">
        <v>2650</v>
      </c>
      <c r="F1228" t="s">
        <v>2651</v>
      </c>
      <c r="G1228" t="s">
        <v>2652</v>
      </c>
    </row>
    <row r="1229" spans="1:7" x14ac:dyDescent="0.25">
      <c r="A1229">
        <v>511198838</v>
      </c>
      <c r="B1229" t="s">
        <v>2654</v>
      </c>
      <c r="C1229" t="str">
        <f>"18284521282283560"</f>
        <v>18284521282283560</v>
      </c>
      <c r="D1229" t="s">
        <v>1258</v>
      </c>
      <c r="E1229" t="s">
        <v>2655</v>
      </c>
      <c r="F1229" t="s">
        <v>2656</v>
      </c>
      <c r="G1229" t="s">
        <v>2657</v>
      </c>
    </row>
    <row r="1230" spans="1:7" x14ac:dyDescent="0.25">
      <c r="A1230">
        <v>1549494501</v>
      </c>
      <c r="B1230" t="s">
        <v>527</v>
      </c>
      <c r="C1230" t="str">
        <f>"17971080560791474"</f>
        <v>17971080560791474</v>
      </c>
      <c r="D1230" t="s">
        <v>2658</v>
      </c>
      <c r="E1230" t="s">
        <v>2659</v>
      </c>
      <c r="F1230" t="s">
        <v>530</v>
      </c>
      <c r="G1230" t="s">
        <v>2660</v>
      </c>
    </row>
    <row r="1231" spans="1:7" x14ac:dyDescent="0.25">
      <c r="A1231">
        <v>1549494501</v>
      </c>
      <c r="B1231" t="s">
        <v>527</v>
      </c>
      <c r="C1231" t="str">
        <f>"17899988373161411"</f>
        <v>17899988373161411</v>
      </c>
      <c r="D1231" t="s">
        <v>2661</v>
      </c>
      <c r="E1231" t="s">
        <v>2662</v>
      </c>
      <c r="F1231" t="s">
        <v>530</v>
      </c>
      <c r="G1231" t="s">
        <v>2663</v>
      </c>
    </row>
    <row r="1232" spans="1:7" x14ac:dyDescent="0.25">
      <c r="A1232">
        <v>40374315488</v>
      </c>
      <c r="B1232" t="s">
        <v>2664</v>
      </c>
      <c r="C1232" t="str">
        <f>"18332447092236730"</f>
        <v>18332447092236730</v>
      </c>
      <c r="D1232" t="s">
        <v>2194</v>
      </c>
      <c r="E1232" t="s">
        <v>2665</v>
      </c>
      <c r="F1232" t="s">
        <v>2666</v>
      </c>
      <c r="G1232" t="s">
        <v>2667</v>
      </c>
    </row>
    <row r="1233" spans="1:7" x14ac:dyDescent="0.25">
      <c r="A1233">
        <v>2022377000</v>
      </c>
      <c r="B1233" t="s">
        <v>2668</v>
      </c>
      <c r="C1233" t="str">
        <f>"17872692393552442"</f>
        <v>17872692393552442</v>
      </c>
      <c r="D1233" t="s">
        <v>2669</v>
      </c>
      <c r="E1233" t="s">
        <v>2670</v>
      </c>
      <c r="F1233" t="s">
        <v>2671</v>
      </c>
      <c r="G1233" t="s">
        <v>2672</v>
      </c>
    </row>
    <row r="1234" spans="1:7" x14ac:dyDescent="0.25">
      <c r="A1234">
        <v>1795895716</v>
      </c>
      <c r="B1234" t="s">
        <v>2673</v>
      </c>
      <c r="C1234" t="str">
        <f>"18039107357785965"</f>
        <v>18039107357785965</v>
      </c>
      <c r="D1234" t="s">
        <v>2674</v>
      </c>
      <c r="E1234" t="s">
        <v>2675</v>
      </c>
      <c r="F1234" t="s">
        <v>2676</v>
      </c>
      <c r="G1234" t="s">
        <v>2677</v>
      </c>
    </row>
    <row r="1235" spans="1:7" x14ac:dyDescent="0.25">
      <c r="A1235">
        <v>37313270</v>
      </c>
      <c r="B1235" t="s">
        <v>2678</v>
      </c>
      <c r="C1235" t="str">
        <f>"17842991586659927"</f>
        <v>17842991586659927</v>
      </c>
      <c r="D1235" t="s">
        <v>2679</v>
      </c>
      <c r="E1235" t="s">
        <v>2680</v>
      </c>
      <c r="F1235" t="s">
        <v>2681</v>
      </c>
      <c r="G1235" t="s">
        <v>2682</v>
      </c>
    </row>
    <row r="1236" spans="1:7" x14ac:dyDescent="0.25">
      <c r="A1236">
        <v>2155358176</v>
      </c>
      <c r="B1236" t="s">
        <v>2683</v>
      </c>
      <c r="C1236" t="str">
        <f>"17900138769338011"</f>
        <v>17900138769338011</v>
      </c>
      <c r="D1236" t="s">
        <v>2684</v>
      </c>
      <c r="E1236" t="s">
        <v>2685</v>
      </c>
      <c r="F1236" t="s">
        <v>2686</v>
      </c>
      <c r="G1236" t="s">
        <v>2687</v>
      </c>
    </row>
    <row r="1237" spans="1:7" x14ac:dyDescent="0.25">
      <c r="A1237">
        <v>71337501598</v>
      </c>
      <c r="B1237" t="s">
        <v>2688</v>
      </c>
      <c r="C1237" t="str">
        <f>"17912911650248951"</f>
        <v>17912911650248951</v>
      </c>
      <c r="D1237" t="s">
        <v>986</v>
      </c>
      <c r="E1237" t="s">
        <v>2689</v>
      </c>
      <c r="F1237" t="s">
        <v>2690</v>
      </c>
      <c r="G1237" t="s">
        <v>2691</v>
      </c>
    </row>
    <row r="1238" spans="1:7" x14ac:dyDescent="0.25">
      <c r="A1238">
        <v>196199792</v>
      </c>
      <c r="B1238" t="s">
        <v>2692</v>
      </c>
      <c r="C1238" t="str">
        <f>"18565096318057003"</f>
        <v>18565096318057003</v>
      </c>
      <c r="D1238" t="s">
        <v>2693</v>
      </c>
      <c r="E1238" t="s">
        <v>2694</v>
      </c>
      <c r="F1238" t="s">
        <v>2695</v>
      </c>
      <c r="G1238" t="s">
        <v>2696</v>
      </c>
    </row>
    <row r="1239" spans="1:7" x14ac:dyDescent="0.25">
      <c r="A1239">
        <v>76859353376</v>
      </c>
      <c r="B1239" t="s">
        <v>2697</v>
      </c>
      <c r="C1239" t="str">
        <f>"18104096308829848"</f>
        <v>18104096308829848</v>
      </c>
      <c r="D1239" t="s">
        <v>2698</v>
      </c>
      <c r="E1239" t="s">
        <v>2699</v>
      </c>
      <c r="F1239" t="s">
        <v>2700</v>
      </c>
      <c r="G1239" t="s">
        <v>2701</v>
      </c>
    </row>
    <row r="1240" spans="1:7" x14ac:dyDescent="0.25">
      <c r="A1240">
        <v>72446823242</v>
      </c>
      <c r="B1240" t="s">
        <v>2702</v>
      </c>
      <c r="C1240" t="str">
        <f>"18086895853915373"</f>
        <v>18086895853915373</v>
      </c>
      <c r="D1240" t="s">
        <v>2703</v>
      </c>
      <c r="E1240" t="s">
        <v>2704</v>
      </c>
      <c r="F1240" t="s">
        <v>2705</v>
      </c>
      <c r="G1240" t="s">
        <v>2706</v>
      </c>
    </row>
    <row r="1241" spans="1:7" x14ac:dyDescent="0.25">
      <c r="A1241">
        <v>1768266087</v>
      </c>
      <c r="B1241" t="s">
        <v>2707</v>
      </c>
      <c r="C1241" t="str">
        <f>"17919000684255256"</f>
        <v>17919000684255256</v>
      </c>
      <c r="D1241" t="s">
        <v>2708</v>
      </c>
      <c r="E1241" t="s">
        <v>2709</v>
      </c>
      <c r="F1241" t="s">
        <v>2710</v>
      </c>
      <c r="G1241" t="s">
        <v>2711</v>
      </c>
    </row>
    <row r="1242" spans="1:7" x14ac:dyDescent="0.25">
      <c r="A1242">
        <v>196199792</v>
      </c>
      <c r="B1242" t="s">
        <v>2692</v>
      </c>
      <c r="C1242" t="str">
        <f>"18564112708033304"</f>
        <v>18564112708033304</v>
      </c>
      <c r="D1242" t="s">
        <v>2712</v>
      </c>
      <c r="E1242" t="s">
        <v>2713</v>
      </c>
      <c r="F1242" t="s">
        <v>2695</v>
      </c>
      <c r="G1242" t="s">
        <v>2714</v>
      </c>
    </row>
    <row r="1243" spans="1:7" x14ac:dyDescent="0.25">
      <c r="A1243">
        <v>3146344710</v>
      </c>
      <c r="B1243" t="s">
        <v>2715</v>
      </c>
      <c r="C1243" t="str">
        <f>"18531903475070961"</f>
        <v>18531903475070961</v>
      </c>
      <c r="D1243" t="s">
        <v>2716</v>
      </c>
      <c r="E1243" t="s">
        <v>2717</v>
      </c>
      <c r="F1243" t="s">
        <v>2718</v>
      </c>
      <c r="G1243" t="s">
        <v>2719</v>
      </c>
    </row>
    <row r="1244" spans="1:7" x14ac:dyDescent="0.25">
      <c r="A1244">
        <v>13275241334</v>
      </c>
      <c r="B1244" t="s">
        <v>2626</v>
      </c>
      <c r="C1244" t="str">
        <f>"18015125267817743"</f>
        <v>18015125267817743</v>
      </c>
      <c r="D1244" t="s">
        <v>2720</v>
      </c>
      <c r="E1244" t="s">
        <v>2721</v>
      </c>
      <c r="F1244" t="s">
        <v>2629</v>
      </c>
      <c r="G1244" t="s">
        <v>2722</v>
      </c>
    </row>
    <row r="1245" spans="1:7" x14ac:dyDescent="0.25">
      <c r="A1245">
        <v>7414465829</v>
      </c>
      <c r="B1245" t="s">
        <v>2723</v>
      </c>
      <c r="C1245" t="str">
        <f>"17927011680227960"</f>
        <v>17927011680227960</v>
      </c>
      <c r="D1245" t="s">
        <v>2724</v>
      </c>
      <c r="E1245" t="s">
        <v>2725</v>
      </c>
      <c r="F1245" t="s">
        <v>2726</v>
      </c>
      <c r="G1245" t="s">
        <v>2727</v>
      </c>
    </row>
    <row r="1246" spans="1:7" x14ac:dyDescent="0.25">
      <c r="A1246">
        <v>724204872</v>
      </c>
      <c r="B1246" t="s">
        <v>2728</v>
      </c>
      <c r="C1246" t="str">
        <f>"18100496635733404"</f>
        <v>18100496635733404</v>
      </c>
      <c r="D1246" t="s">
        <v>2729</v>
      </c>
      <c r="E1246" t="s">
        <v>2730</v>
      </c>
      <c r="F1246" t="s">
        <v>2731</v>
      </c>
      <c r="G1246" t="s">
        <v>2732</v>
      </c>
    </row>
    <row r="1247" spans="1:7" x14ac:dyDescent="0.25">
      <c r="A1247">
        <v>45006291986</v>
      </c>
      <c r="B1247" t="s">
        <v>2733</v>
      </c>
      <c r="C1247" t="str">
        <f>"18057729020416826"</f>
        <v>18057729020416826</v>
      </c>
      <c r="D1247" t="s">
        <v>2734</v>
      </c>
      <c r="E1247" t="s">
        <v>2735</v>
      </c>
      <c r="F1247" t="s">
        <v>2736</v>
      </c>
      <c r="G1247" t="s">
        <v>2737</v>
      </c>
    </row>
    <row r="1248" spans="1:7" x14ac:dyDescent="0.25">
      <c r="A1248">
        <v>1549494501</v>
      </c>
      <c r="B1248" t="s">
        <v>527</v>
      </c>
      <c r="C1248" t="str">
        <f>"18095554684817263"</f>
        <v>18095554684817263</v>
      </c>
      <c r="D1248" t="s">
        <v>2738</v>
      </c>
      <c r="E1248" t="s">
        <v>2739</v>
      </c>
      <c r="F1248" t="s">
        <v>530</v>
      </c>
      <c r="G1248" t="s">
        <v>2740</v>
      </c>
    </row>
    <row r="1249" spans="1:7" x14ac:dyDescent="0.25">
      <c r="A1249">
        <v>13474324905</v>
      </c>
      <c r="B1249" t="s">
        <v>2741</v>
      </c>
      <c r="C1249" t="str">
        <f>"17969795844032936"</f>
        <v>17969795844032936</v>
      </c>
      <c r="D1249" t="s">
        <v>2742</v>
      </c>
      <c r="E1249" t="s">
        <v>2743</v>
      </c>
      <c r="F1249" t="s">
        <v>2744</v>
      </c>
      <c r="G1249" t="s">
        <v>2745</v>
      </c>
    </row>
    <row r="1250" spans="1:7" x14ac:dyDescent="0.25">
      <c r="A1250">
        <v>4088384964</v>
      </c>
      <c r="B1250" t="s">
        <v>2746</v>
      </c>
      <c r="C1250" t="str">
        <f>"18190050916358035"</f>
        <v>18190050916358035</v>
      </c>
      <c r="D1250" t="s">
        <v>2747</v>
      </c>
      <c r="E1250" t="s">
        <v>2748</v>
      </c>
      <c r="F1250" t="s">
        <v>2749</v>
      </c>
      <c r="G1250" t="s">
        <v>2750</v>
      </c>
    </row>
    <row r="1251" spans="1:7" x14ac:dyDescent="0.25">
      <c r="A1251">
        <v>79826881680</v>
      </c>
      <c r="B1251" t="s">
        <v>2751</v>
      </c>
      <c r="C1251" t="str">
        <f>"18087012586959201"</f>
        <v>18087012586959201</v>
      </c>
      <c r="D1251" t="s">
        <v>2752</v>
      </c>
      <c r="E1251" t="s">
        <v>2753</v>
      </c>
      <c r="F1251" t="s">
        <v>2754</v>
      </c>
      <c r="G1251" t="s">
        <v>2755</v>
      </c>
    </row>
    <row r="1252" spans="1:7" x14ac:dyDescent="0.25">
      <c r="A1252">
        <v>5868918</v>
      </c>
      <c r="B1252" t="s">
        <v>2756</v>
      </c>
      <c r="C1252" t="str">
        <f>"18109840675802204"</f>
        <v>18109840675802204</v>
      </c>
      <c r="D1252" t="s">
        <v>2757</v>
      </c>
      <c r="E1252" t="s">
        <v>2758</v>
      </c>
      <c r="F1252" t="s">
        <v>2759</v>
      </c>
      <c r="G1252" t="s">
        <v>2760</v>
      </c>
    </row>
    <row r="1253" spans="1:7" x14ac:dyDescent="0.25">
      <c r="A1253">
        <v>9214781192</v>
      </c>
      <c r="B1253" t="s">
        <v>2761</v>
      </c>
      <c r="C1253" t="str">
        <f>"18148120486415070"</f>
        <v>18148120486415070</v>
      </c>
      <c r="D1253" t="s">
        <v>2762</v>
      </c>
      <c r="E1253" t="s">
        <v>2763</v>
      </c>
      <c r="F1253" t="s">
        <v>2764</v>
      </c>
      <c r="G1253" t="s">
        <v>2765</v>
      </c>
    </row>
    <row r="1254" spans="1:7" x14ac:dyDescent="0.25">
      <c r="A1254">
        <v>47534172501</v>
      </c>
      <c r="B1254" t="s">
        <v>2766</v>
      </c>
      <c r="C1254" t="str">
        <f>"17877479454412088"</f>
        <v>17877479454412088</v>
      </c>
      <c r="D1254" t="s">
        <v>2767</v>
      </c>
      <c r="E1254" t="s">
        <v>2768</v>
      </c>
      <c r="F1254" t="s">
        <v>2769</v>
      </c>
      <c r="G1254" t="s">
        <v>2770</v>
      </c>
    </row>
    <row r="1255" spans="1:7" x14ac:dyDescent="0.25">
      <c r="A1255">
        <v>49075667461</v>
      </c>
      <c r="B1255" t="s">
        <v>2771</v>
      </c>
      <c r="C1255" t="str">
        <f>"17859208368562755"</f>
        <v>17859208368562755</v>
      </c>
      <c r="D1255" t="s">
        <v>2772</v>
      </c>
      <c r="E1255" t="s">
        <v>2773</v>
      </c>
      <c r="F1255" t="s">
        <v>2774</v>
      </c>
      <c r="G1255" t="s">
        <v>2775</v>
      </c>
    </row>
    <row r="1256" spans="1:7" x14ac:dyDescent="0.25">
      <c r="A1256">
        <v>1469574856</v>
      </c>
      <c r="B1256" t="s">
        <v>2776</v>
      </c>
      <c r="C1256" t="str">
        <f>"18158653198433320"</f>
        <v>18158653198433320</v>
      </c>
      <c r="D1256" t="s">
        <v>2777</v>
      </c>
      <c r="E1256" t="s">
        <v>2778</v>
      </c>
      <c r="F1256" t="s">
        <v>2779</v>
      </c>
      <c r="G1256" t="s">
        <v>2780</v>
      </c>
    </row>
    <row r="1257" spans="1:7" x14ac:dyDescent="0.25">
      <c r="A1257">
        <v>1365852627</v>
      </c>
      <c r="B1257" t="s">
        <v>2781</v>
      </c>
      <c r="C1257" t="str">
        <f>"18090405893140487"</f>
        <v>18090405893140487</v>
      </c>
      <c r="D1257" t="s">
        <v>2734</v>
      </c>
      <c r="E1257" t="s">
        <v>2782</v>
      </c>
      <c r="F1257" t="s">
        <v>2783</v>
      </c>
      <c r="G1257" t="s">
        <v>2784</v>
      </c>
    </row>
    <row r="1258" spans="1:7" x14ac:dyDescent="0.25">
      <c r="A1258">
        <v>55476502274</v>
      </c>
      <c r="B1258" t="s">
        <v>2785</v>
      </c>
      <c r="C1258" t="str">
        <f>"18441985375112122"</f>
        <v>18441985375112122</v>
      </c>
      <c r="D1258" t="s">
        <v>2786</v>
      </c>
      <c r="E1258" t="s">
        <v>2787</v>
      </c>
      <c r="F1258" t="s">
        <v>2788</v>
      </c>
      <c r="G1258" t="s">
        <v>2789</v>
      </c>
    </row>
    <row r="1259" spans="1:7" x14ac:dyDescent="0.25">
      <c r="A1259">
        <v>48872691209</v>
      </c>
      <c r="B1259" t="s">
        <v>2790</v>
      </c>
      <c r="C1259" t="str">
        <f>"17907211989383062"</f>
        <v>17907211989383062</v>
      </c>
      <c r="D1259" t="s">
        <v>2791</v>
      </c>
      <c r="E1259" t="s">
        <v>2792</v>
      </c>
      <c r="F1259" t="s">
        <v>2793</v>
      </c>
      <c r="G1259" t="s">
        <v>2770</v>
      </c>
    </row>
    <row r="1260" spans="1:7" x14ac:dyDescent="0.25">
      <c r="A1260">
        <v>1103764129</v>
      </c>
      <c r="B1260" t="s">
        <v>2794</v>
      </c>
      <c r="C1260" t="str">
        <f>"17915993082300770"</f>
        <v>17915993082300770</v>
      </c>
      <c r="D1260" t="s">
        <v>2795</v>
      </c>
      <c r="E1260" t="s">
        <v>2796</v>
      </c>
      <c r="F1260" t="s">
        <v>2797</v>
      </c>
      <c r="G1260" t="s">
        <v>2798</v>
      </c>
    </row>
    <row r="1261" spans="1:7" x14ac:dyDescent="0.25">
      <c r="A1261">
        <v>1103764129</v>
      </c>
      <c r="B1261" t="s">
        <v>2794</v>
      </c>
      <c r="C1261" t="str">
        <f>"18076014893134733"</f>
        <v>18076014893134733</v>
      </c>
      <c r="D1261" t="s">
        <v>2799</v>
      </c>
      <c r="E1261" t="s">
        <v>2800</v>
      </c>
      <c r="F1261" t="s">
        <v>2797</v>
      </c>
      <c r="G1261" t="s">
        <v>2798</v>
      </c>
    </row>
    <row r="1262" spans="1:7" x14ac:dyDescent="0.25">
      <c r="A1262">
        <v>322680060</v>
      </c>
      <c r="B1262" t="s">
        <v>2801</v>
      </c>
      <c r="C1262" t="str">
        <f>"17877945030519316"</f>
        <v>17877945030519316</v>
      </c>
      <c r="D1262" t="s">
        <v>2802</v>
      </c>
      <c r="E1262" t="s">
        <v>2803</v>
      </c>
      <c r="F1262" t="s">
        <v>2804</v>
      </c>
      <c r="G1262" t="s">
        <v>2805</v>
      </c>
    </row>
    <row r="1263" spans="1:7" x14ac:dyDescent="0.25">
      <c r="A1263">
        <v>276088849</v>
      </c>
      <c r="B1263" t="s">
        <v>2806</v>
      </c>
      <c r="C1263" t="str">
        <f>"18051097745496432"</f>
        <v>18051097745496432</v>
      </c>
      <c r="D1263" t="s">
        <v>2807</v>
      </c>
      <c r="E1263" t="s">
        <v>2808</v>
      </c>
      <c r="F1263" t="s">
        <v>2809</v>
      </c>
      <c r="G1263" t="s">
        <v>2810</v>
      </c>
    </row>
    <row r="1264" spans="1:7" x14ac:dyDescent="0.25">
      <c r="A1264">
        <v>276088849</v>
      </c>
      <c r="B1264" t="s">
        <v>2806</v>
      </c>
      <c r="C1264" t="str">
        <f>"18451399243105162"</f>
        <v>18451399243105162</v>
      </c>
      <c r="D1264" t="s">
        <v>2811</v>
      </c>
      <c r="E1264" t="s">
        <v>2812</v>
      </c>
      <c r="F1264" t="s">
        <v>2809</v>
      </c>
      <c r="G1264" t="s">
        <v>2810</v>
      </c>
    </row>
    <row r="1265" spans="1:7" x14ac:dyDescent="0.25">
      <c r="A1265">
        <v>44992180654</v>
      </c>
      <c r="B1265" t="s">
        <v>2813</v>
      </c>
      <c r="C1265" t="str">
        <f>"18076301849396646"</f>
        <v>18076301849396646</v>
      </c>
      <c r="D1265" t="s">
        <v>2814</v>
      </c>
      <c r="E1265" t="s">
        <v>2815</v>
      </c>
      <c r="F1265" t="s">
        <v>2816</v>
      </c>
      <c r="G1265" t="s">
        <v>2817</v>
      </c>
    </row>
    <row r="1266" spans="1:7" x14ac:dyDescent="0.25">
      <c r="A1266">
        <v>44992180654</v>
      </c>
      <c r="B1266" t="s">
        <v>2813</v>
      </c>
      <c r="C1266" t="str">
        <f>"17975370978006184"</f>
        <v>17975370978006184</v>
      </c>
      <c r="D1266" t="s">
        <v>2818</v>
      </c>
      <c r="E1266" t="s">
        <v>2819</v>
      </c>
      <c r="F1266" t="s">
        <v>2816</v>
      </c>
      <c r="G1266" t="s">
        <v>2817</v>
      </c>
    </row>
    <row r="1267" spans="1:7" x14ac:dyDescent="0.25">
      <c r="A1267">
        <v>724204872</v>
      </c>
      <c r="B1267" t="s">
        <v>2728</v>
      </c>
      <c r="C1267" t="str">
        <f>"17942471864999202"</f>
        <v>17942471864999202</v>
      </c>
      <c r="D1267" t="s">
        <v>2820</v>
      </c>
      <c r="E1267" t="s">
        <v>2821</v>
      </c>
      <c r="F1267" t="s">
        <v>2731</v>
      </c>
      <c r="G1267" t="s">
        <v>2822</v>
      </c>
    </row>
    <row r="1268" spans="1:7" x14ac:dyDescent="0.25">
      <c r="A1268">
        <v>2303421009</v>
      </c>
      <c r="B1268" t="s">
        <v>2823</v>
      </c>
      <c r="C1268" t="str">
        <f>"17909996478365093"</f>
        <v>17909996478365093</v>
      </c>
      <c r="D1268" t="s">
        <v>2824</v>
      </c>
      <c r="E1268" t="s">
        <v>2825</v>
      </c>
      <c r="F1268" t="s">
        <v>2826</v>
      </c>
      <c r="G1268" t="s">
        <v>2827</v>
      </c>
    </row>
    <row r="1269" spans="1:7" x14ac:dyDescent="0.25">
      <c r="A1269">
        <v>11071049</v>
      </c>
      <c r="B1269" t="s">
        <v>2828</v>
      </c>
      <c r="C1269" t="str">
        <f>"18132341551543159"</f>
        <v>18132341551543159</v>
      </c>
      <c r="D1269" t="s">
        <v>2829</v>
      </c>
      <c r="E1269" t="s">
        <v>2830</v>
      </c>
      <c r="F1269" t="s">
        <v>2831</v>
      </c>
      <c r="G1269" t="s">
        <v>2832</v>
      </c>
    </row>
    <row r="1270" spans="1:7" x14ac:dyDescent="0.25">
      <c r="A1270">
        <v>11071049</v>
      </c>
      <c r="B1270" t="s">
        <v>2828</v>
      </c>
      <c r="C1270" t="str">
        <f>"17958102827935836"</f>
        <v>17958102827935836</v>
      </c>
      <c r="D1270" t="s">
        <v>2833</v>
      </c>
      <c r="E1270" t="s">
        <v>2834</v>
      </c>
      <c r="F1270" t="s">
        <v>2831</v>
      </c>
      <c r="G1270" t="s">
        <v>2832</v>
      </c>
    </row>
    <row r="1271" spans="1:7" x14ac:dyDescent="0.25">
      <c r="A1271">
        <v>51748977407</v>
      </c>
      <c r="B1271" t="s">
        <v>2835</v>
      </c>
      <c r="C1271" t="str">
        <f>"18066662327377835"</f>
        <v>18066662327377835</v>
      </c>
      <c r="D1271" t="s">
        <v>2836</v>
      </c>
      <c r="E1271" t="s">
        <v>2837</v>
      </c>
      <c r="F1271" t="s">
        <v>2838</v>
      </c>
      <c r="G1271" t="s">
        <v>2839</v>
      </c>
    </row>
    <row r="1272" spans="1:7" x14ac:dyDescent="0.25">
      <c r="A1272">
        <v>1425196765</v>
      </c>
      <c r="B1272" t="s">
        <v>2840</v>
      </c>
      <c r="C1272" t="str">
        <f>"18156708622449004"</f>
        <v>18156708622449004</v>
      </c>
      <c r="D1272" t="s">
        <v>2841</v>
      </c>
      <c r="E1272" t="s">
        <v>2842</v>
      </c>
      <c r="F1272" t="s">
        <v>2843</v>
      </c>
      <c r="G1272" t="s">
        <v>2844</v>
      </c>
    </row>
    <row r="1273" spans="1:7" x14ac:dyDescent="0.25">
      <c r="A1273">
        <v>352529735</v>
      </c>
      <c r="B1273" t="s">
        <v>2845</v>
      </c>
      <c r="C1273" t="str">
        <f>"18090799843897769"</f>
        <v>18090799843897769</v>
      </c>
      <c r="D1273" t="s">
        <v>2846</v>
      </c>
      <c r="E1273" t="s">
        <v>2847</v>
      </c>
      <c r="F1273" t="s">
        <v>2848</v>
      </c>
      <c r="G1273" t="s">
        <v>2849</v>
      </c>
    </row>
    <row r="1274" spans="1:7" x14ac:dyDescent="0.25">
      <c r="A1274">
        <v>266204502</v>
      </c>
      <c r="B1274" t="s">
        <v>2850</v>
      </c>
      <c r="C1274" t="str">
        <f>"18057093944474060"</f>
        <v>18057093944474060</v>
      </c>
      <c r="D1274" t="s">
        <v>759</v>
      </c>
      <c r="E1274" t="s">
        <v>2851</v>
      </c>
      <c r="F1274" t="s">
        <v>2852</v>
      </c>
      <c r="G1274" t="s">
        <v>2853</v>
      </c>
    </row>
    <row r="1275" spans="1:7" x14ac:dyDescent="0.25">
      <c r="A1275">
        <v>55714401</v>
      </c>
      <c r="B1275" t="s">
        <v>2854</v>
      </c>
      <c r="C1275" t="str">
        <f>"17969576514043150"</f>
        <v>17969576514043150</v>
      </c>
      <c r="D1275" t="s">
        <v>2855</v>
      </c>
      <c r="E1275" t="s">
        <v>2856</v>
      </c>
      <c r="F1275" t="s">
        <v>2857</v>
      </c>
      <c r="G1275" t="s">
        <v>2858</v>
      </c>
    </row>
    <row r="1276" spans="1:7" x14ac:dyDescent="0.25">
      <c r="A1276">
        <v>290613961</v>
      </c>
      <c r="B1276" t="s">
        <v>2859</v>
      </c>
      <c r="C1276" t="str">
        <f>"18195514273347149"</f>
        <v>18195514273347149</v>
      </c>
      <c r="D1276" t="s">
        <v>2860</v>
      </c>
      <c r="E1276" t="s">
        <v>2861</v>
      </c>
      <c r="F1276" t="s">
        <v>2862</v>
      </c>
      <c r="G1276" t="s">
        <v>2863</v>
      </c>
    </row>
    <row r="1277" spans="1:7" x14ac:dyDescent="0.25">
      <c r="A1277">
        <v>8681481022</v>
      </c>
      <c r="B1277" t="s">
        <v>2864</v>
      </c>
      <c r="C1277" t="str">
        <f>"17867864169506019"</f>
        <v>17867864169506019</v>
      </c>
      <c r="D1277" t="s">
        <v>2865</v>
      </c>
      <c r="E1277" t="s">
        <v>2866</v>
      </c>
      <c r="F1277" t="s">
        <v>2867</v>
      </c>
      <c r="G1277" t="s">
        <v>2868</v>
      </c>
    </row>
    <row r="1278" spans="1:7" x14ac:dyDescent="0.25">
      <c r="A1278">
        <v>4198227336</v>
      </c>
      <c r="B1278" t="s">
        <v>2869</v>
      </c>
      <c r="C1278" t="str">
        <f>"18368063263204878"</f>
        <v>18368063263204878</v>
      </c>
      <c r="D1278" t="s">
        <v>2870</v>
      </c>
      <c r="E1278" t="s">
        <v>2871</v>
      </c>
      <c r="F1278" t="s">
        <v>2872</v>
      </c>
      <c r="G1278" t="s">
        <v>2873</v>
      </c>
    </row>
    <row r="1279" spans="1:7" x14ac:dyDescent="0.25">
      <c r="A1279">
        <v>300146205</v>
      </c>
      <c r="B1279" t="s">
        <v>2874</v>
      </c>
      <c r="C1279" t="str">
        <f>"18573627181061444"</f>
        <v>18573627181061444</v>
      </c>
      <c r="D1279" t="s">
        <v>2875</v>
      </c>
      <c r="E1279" t="s">
        <v>2876</v>
      </c>
      <c r="F1279" t="s">
        <v>2877</v>
      </c>
      <c r="G1279" t="s">
        <v>2878</v>
      </c>
    </row>
    <row r="1280" spans="1:7" x14ac:dyDescent="0.25">
      <c r="A1280">
        <v>5317428052</v>
      </c>
      <c r="B1280" t="s">
        <v>2879</v>
      </c>
      <c r="C1280" t="str">
        <f>"18146580193488014"</f>
        <v>18146580193488014</v>
      </c>
      <c r="D1280" t="s">
        <v>2880</v>
      </c>
      <c r="E1280" t="s">
        <v>2881</v>
      </c>
      <c r="F1280" t="s">
        <v>2882</v>
      </c>
      <c r="G1280" t="s">
        <v>2883</v>
      </c>
    </row>
    <row r="1281" spans="1:7" x14ac:dyDescent="0.25">
      <c r="A1281">
        <v>4551976062</v>
      </c>
      <c r="B1281" t="s">
        <v>2884</v>
      </c>
      <c r="C1281" t="str">
        <f>"18087104486350859"</f>
        <v>18087104486350859</v>
      </c>
      <c r="D1281" t="s">
        <v>2885</v>
      </c>
      <c r="E1281" t="s">
        <v>2886</v>
      </c>
      <c r="F1281" t="s">
        <v>2887</v>
      </c>
      <c r="G1281" t="s">
        <v>2888</v>
      </c>
    </row>
    <row r="1282" spans="1:7" x14ac:dyDescent="0.25">
      <c r="A1282">
        <v>1667710495</v>
      </c>
      <c r="B1282" t="s">
        <v>2889</v>
      </c>
      <c r="C1282" t="str">
        <f>"18091960718332588"</f>
        <v>18091960718332588</v>
      </c>
      <c r="D1282" t="s">
        <v>759</v>
      </c>
      <c r="E1282" t="s">
        <v>2890</v>
      </c>
      <c r="F1282" t="s">
        <v>2891</v>
      </c>
      <c r="G1282" t="s">
        <v>2892</v>
      </c>
    </row>
    <row r="1283" spans="1:7" x14ac:dyDescent="0.25">
      <c r="A1283">
        <v>61527500228</v>
      </c>
      <c r="B1283" t="s">
        <v>2893</v>
      </c>
      <c r="C1283" t="str">
        <f>"18107450056871973"</f>
        <v>18107450056871973</v>
      </c>
      <c r="D1283" t="s">
        <v>2894</v>
      </c>
      <c r="E1283" t="s">
        <v>2895</v>
      </c>
      <c r="F1283" t="s">
        <v>2896</v>
      </c>
      <c r="G1283" t="s">
        <v>2897</v>
      </c>
    </row>
    <row r="1284" spans="1:7" x14ac:dyDescent="0.25">
      <c r="A1284">
        <v>3278174685</v>
      </c>
      <c r="B1284" t="s">
        <v>2898</v>
      </c>
      <c r="C1284" t="str">
        <f>"18095794544102579"</f>
        <v>18095794544102579</v>
      </c>
      <c r="D1284" t="s">
        <v>2899</v>
      </c>
      <c r="E1284" t="s">
        <v>2900</v>
      </c>
      <c r="F1284" t="s">
        <v>2901</v>
      </c>
      <c r="G1284" t="s">
        <v>2902</v>
      </c>
    </row>
    <row r="1285" spans="1:7" x14ac:dyDescent="0.25">
      <c r="A1285">
        <v>65083771482</v>
      </c>
      <c r="B1285" t="s">
        <v>2903</v>
      </c>
      <c r="C1285" t="str">
        <f>"18085379669525936"</f>
        <v>18085379669525936</v>
      </c>
      <c r="D1285" t="s">
        <v>2904</v>
      </c>
      <c r="E1285" t="s">
        <v>2905</v>
      </c>
      <c r="F1285" t="s">
        <v>2906</v>
      </c>
      <c r="G1285" t="s">
        <v>2907</v>
      </c>
    </row>
    <row r="1286" spans="1:7" x14ac:dyDescent="0.25">
      <c r="A1286">
        <v>478029026</v>
      </c>
      <c r="B1286" t="s">
        <v>2908</v>
      </c>
      <c r="C1286" t="str">
        <f>"18096371264072856"</f>
        <v>18096371264072856</v>
      </c>
      <c r="D1286" t="s">
        <v>2909</v>
      </c>
      <c r="E1286" t="s">
        <v>2910</v>
      </c>
      <c r="F1286" t="s">
        <v>2911</v>
      </c>
      <c r="G1286" t="s">
        <v>2912</v>
      </c>
    </row>
    <row r="1287" spans="1:7" x14ac:dyDescent="0.25">
      <c r="A1287">
        <v>301684641</v>
      </c>
      <c r="B1287" t="s">
        <v>2913</v>
      </c>
      <c r="C1287" t="str">
        <f>"17864902659535003"</f>
        <v>17864902659535003</v>
      </c>
      <c r="D1287" t="s">
        <v>2914</v>
      </c>
      <c r="E1287" t="s">
        <v>2915</v>
      </c>
      <c r="F1287" t="s">
        <v>2916</v>
      </c>
      <c r="G1287" t="s">
        <v>2917</v>
      </c>
    </row>
    <row r="1288" spans="1:7" x14ac:dyDescent="0.25">
      <c r="A1288">
        <v>1484915676</v>
      </c>
      <c r="B1288" t="s">
        <v>2918</v>
      </c>
      <c r="C1288" t="str">
        <f>"17876260794432879"</f>
        <v>17876260794432879</v>
      </c>
      <c r="D1288" t="s">
        <v>2919</v>
      </c>
      <c r="E1288" t="s">
        <v>2920</v>
      </c>
      <c r="F1288" t="s">
        <v>2921</v>
      </c>
      <c r="G1288" t="s">
        <v>2922</v>
      </c>
    </row>
    <row r="1289" spans="1:7" x14ac:dyDescent="0.25">
      <c r="A1289">
        <v>59850976370</v>
      </c>
      <c r="B1289" t="s">
        <v>2923</v>
      </c>
      <c r="C1289" t="str">
        <f>"17956130136106260"</f>
        <v>17956130136106260</v>
      </c>
      <c r="D1289" t="s">
        <v>2924</v>
      </c>
      <c r="E1289" t="s">
        <v>2925</v>
      </c>
      <c r="F1289" t="s">
        <v>2926</v>
      </c>
      <c r="G1289" t="s">
        <v>2927</v>
      </c>
    </row>
    <row r="1290" spans="1:7" x14ac:dyDescent="0.25">
      <c r="A1290">
        <v>1801205303</v>
      </c>
      <c r="B1290" t="s">
        <v>2274</v>
      </c>
      <c r="C1290" t="str">
        <f>"17986538450970740"</f>
        <v>17986538450970740</v>
      </c>
      <c r="D1290" t="s">
        <v>2928</v>
      </c>
      <c r="E1290" t="s">
        <v>2929</v>
      </c>
      <c r="F1290" t="s">
        <v>2277</v>
      </c>
      <c r="G1290" t="s">
        <v>2930</v>
      </c>
    </row>
    <row r="1291" spans="1:7" x14ac:dyDescent="0.25">
      <c r="A1291">
        <v>1549494501</v>
      </c>
      <c r="B1291" t="s">
        <v>527</v>
      </c>
      <c r="C1291" t="str">
        <f>"18076477649413671"</f>
        <v>18076477649413671</v>
      </c>
      <c r="D1291" t="s">
        <v>2931</v>
      </c>
      <c r="E1291" t="s">
        <v>2932</v>
      </c>
      <c r="F1291" t="s">
        <v>530</v>
      </c>
      <c r="G1291" t="s">
        <v>2933</v>
      </c>
    </row>
    <row r="1292" spans="1:7" x14ac:dyDescent="0.25">
      <c r="A1292">
        <v>8518847385</v>
      </c>
      <c r="B1292" t="s">
        <v>2934</v>
      </c>
      <c r="C1292" t="str">
        <f>"18128165752570473"</f>
        <v>18128165752570473</v>
      </c>
      <c r="D1292" t="s">
        <v>2935</v>
      </c>
      <c r="E1292" t="s">
        <v>2936</v>
      </c>
      <c r="F1292" t="s">
        <v>2937</v>
      </c>
      <c r="G1292" t="s">
        <v>2938</v>
      </c>
    </row>
    <row r="1293" spans="1:7" x14ac:dyDescent="0.25">
      <c r="A1293">
        <v>8518847385</v>
      </c>
      <c r="B1293" t="s">
        <v>2934</v>
      </c>
      <c r="C1293" t="str">
        <f>"17988396797950741"</f>
        <v>17988396797950741</v>
      </c>
      <c r="D1293" t="s">
        <v>2939</v>
      </c>
      <c r="E1293" t="s">
        <v>2940</v>
      </c>
      <c r="F1293" t="s">
        <v>2937</v>
      </c>
      <c r="G1293" t="s">
        <v>2938</v>
      </c>
    </row>
    <row r="1294" spans="1:7" x14ac:dyDescent="0.25">
      <c r="A1294">
        <v>1406260393</v>
      </c>
      <c r="B1294" t="s">
        <v>2941</v>
      </c>
      <c r="C1294" t="str">
        <f>"18099724180960605"</f>
        <v>18099724180960605</v>
      </c>
      <c r="D1294" t="s">
        <v>2942</v>
      </c>
      <c r="E1294" t="s">
        <v>2943</v>
      </c>
      <c r="F1294" t="s">
        <v>2944</v>
      </c>
      <c r="G1294" t="s">
        <v>2945</v>
      </c>
    </row>
    <row r="1295" spans="1:7" x14ac:dyDescent="0.25">
      <c r="A1295">
        <v>1801205303</v>
      </c>
      <c r="B1295" t="s">
        <v>2274</v>
      </c>
      <c r="C1295" t="str">
        <f>"17986538450970740"</f>
        <v>17986538450970740</v>
      </c>
      <c r="D1295" t="s">
        <v>2928</v>
      </c>
      <c r="E1295" t="s">
        <v>2929</v>
      </c>
      <c r="F1295" t="s">
        <v>2277</v>
      </c>
      <c r="G1295" t="s">
        <v>2946</v>
      </c>
    </row>
    <row r="1296" spans="1:7" x14ac:dyDescent="0.25">
      <c r="A1296">
        <v>1549494501</v>
      </c>
      <c r="B1296" t="s">
        <v>527</v>
      </c>
      <c r="C1296" t="str">
        <f>"18076477649413671"</f>
        <v>18076477649413671</v>
      </c>
      <c r="D1296" t="s">
        <v>2931</v>
      </c>
      <c r="E1296" t="s">
        <v>2932</v>
      </c>
      <c r="F1296" t="s">
        <v>530</v>
      </c>
      <c r="G1296" t="s">
        <v>2947</v>
      </c>
    </row>
    <row r="1297" spans="1:7" x14ac:dyDescent="0.25">
      <c r="A1297">
        <v>8518847385</v>
      </c>
      <c r="B1297" t="s">
        <v>2934</v>
      </c>
      <c r="C1297" t="str">
        <f>"18128165752570473"</f>
        <v>18128165752570473</v>
      </c>
      <c r="D1297" t="s">
        <v>2935</v>
      </c>
      <c r="E1297" t="s">
        <v>2936</v>
      </c>
      <c r="F1297" t="s">
        <v>2937</v>
      </c>
      <c r="G1297" t="s">
        <v>2948</v>
      </c>
    </row>
    <row r="1298" spans="1:7" x14ac:dyDescent="0.25">
      <c r="A1298">
        <v>8518847385</v>
      </c>
      <c r="B1298" t="s">
        <v>2934</v>
      </c>
      <c r="C1298" t="str">
        <f>"17988396797950741"</f>
        <v>17988396797950741</v>
      </c>
      <c r="D1298" t="s">
        <v>2939</v>
      </c>
      <c r="E1298" t="s">
        <v>2940</v>
      </c>
      <c r="F1298" t="s">
        <v>2937</v>
      </c>
      <c r="G1298" t="s">
        <v>2948</v>
      </c>
    </row>
    <row r="1299" spans="1:7" x14ac:dyDescent="0.25">
      <c r="A1299">
        <v>1406260393</v>
      </c>
      <c r="B1299" t="s">
        <v>2941</v>
      </c>
      <c r="C1299" t="str">
        <f>"18099724180960605"</f>
        <v>18099724180960605</v>
      </c>
      <c r="D1299" t="s">
        <v>2942</v>
      </c>
      <c r="E1299" t="s">
        <v>2943</v>
      </c>
      <c r="F1299" t="s">
        <v>2944</v>
      </c>
      <c r="G1299" t="s">
        <v>2949</v>
      </c>
    </row>
    <row r="1300" spans="1:7" x14ac:dyDescent="0.25">
      <c r="A1300">
        <v>1801205303</v>
      </c>
      <c r="B1300" t="s">
        <v>2274</v>
      </c>
      <c r="C1300" t="str">
        <f>"18077368583428983"</f>
        <v>18077368583428983</v>
      </c>
      <c r="D1300" t="s">
        <v>2950</v>
      </c>
      <c r="E1300" t="s">
        <v>2951</v>
      </c>
      <c r="F1300" t="s">
        <v>2277</v>
      </c>
      <c r="G1300" t="s">
        <v>2952</v>
      </c>
    </row>
    <row r="1301" spans="1:7" x14ac:dyDescent="0.25">
      <c r="A1301">
        <v>2110949970</v>
      </c>
      <c r="B1301" t="s">
        <v>2953</v>
      </c>
      <c r="C1301" t="str">
        <f>"18100195907094443"</f>
        <v>18100195907094443</v>
      </c>
      <c r="D1301" t="s">
        <v>2954</v>
      </c>
      <c r="E1301" t="s">
        <v>2955</v>
      </c>
      <c r="F1301" t="s">
        <v>2956</v>
      </c>
      <c r="G1301" t="s">
        <v>2957</v>
      </c>
    </row>
    <row r="1302" spans="1:7" x14ac:dyDescent="0.25">
      <c r="A1302">
        <v>71737985383</v>
      </c>
      <c r="B1302" t="s">
        <v>2958</v>
      </c>
      <c r="C1302" t="str">
        <f>"18591337837029316"</f>
        <v>18591337837029316</v>
      </c>
      <c r="D1302" t="s">
        <v>2959</v>
      </c>
      <c r="E1302" t="s">
        <v>2960</v>
      </c>
      <c r="F1302" t="s">
        <v>2961</v>
      </c>
      <c r="G1302" t="s">
        <v>2962</v>
      </c>
    </row>
    <row r="1303" spans="1:7" x14ac:dyDescent="0.25">
      <c r="A1303">
        <v>3071304977</v>
      </c>
      <c r="B1303" t="s">
        <v>2963</v>
      </c>
      <c r="C1303" t="str">
        <f>"18163216225422396"</f>
        <v>18163216225422396</v>
      </c>
      <c r="D1303" t="s">
        <v>2964</v>
      </c>
      <c r="E1303" t="s">
        <v>2965</v>
      </c>
      <c r="F1303" t="s">
        <v>2966</v>
      </c>
      <c r="G1303" t="s">
        <v>2967</v>
      </c>
    </row>
    <row r="1304" spans="1:7" x14ac:dyDescent="0.25">
      <c r="A1304">
        <v>365076551</v>
      </c>
      <c r="B1304" t="s">
        <v>2968</v>
      </c>
      <c r="C1304" t="str">
        <f>"18116592304655079"</f>
        <v>18116592304655079</v>
      </c>
      <c r="D1304" t="s">
        <v>2969</v>
      </c>
      <c r="E1304" t="s">
        <v>2970</v>
      </c>
      <c r="F1304" t="s">
        <v>2971</v>
      </c>
      <c r="G1304" t="s">
        <v>2972</v>
      </c>
    </row>
    <row r="1305" spans="1:7" x14ac:dyDescent="0.25">
      <c r="A1305">
        <v>5997849570</v>
      </c>
      <c r="B1305" t="s">
        <v>2973</v>
      </c>
      <c r="C1305" t="str">
        <f>"18045066929728442"</f>
        <v>18045066929728442</v>
      </c>
      <c r="E1305" t="s">
        <v>2974</v>
      </c>
      <c r="F1305" t="s">
        <v>2975</v>
      </c>
      <c r="G1305" t="s">
        <v>2976</v>
      </c>
    </row>
    <row r="1306" spans="1:7" x14ac:dyDescent="0.25">
      <c r="A1306">
        <v>1801205303</v>
      </c>
      <c r="B1306" t="s">
        <v>2274</v>
      </c>
      <c r="C1306" t="str">
        <f>"18148561216481319"</f>
        <v>18148561216481319</v>
      </c>
      <c r="D1306" t="s">
        <v>2977</v>
      </c>
      <c r="E1306" t="s">
        <v>2978</v>
      </c>
      <c r="F1306" t="s">
        <v>2277</v>
      </c>
      <c r="G1306" t="s">
        <v>2952</v>
      </c>
    </row>
    <row r="1307" spans="1:7" x14ac:dyDescent="0.25">
      <c r="A1307">
        <v>72775200795</v>
      </c>
      <c r="B1307" t="s">
        <v>2979</v>
      </c>
      <c r="C1307" t="str">
        <f>"17882680245491058"</f>
        <v>17882680245491058</v>
      </c>
      <c r="D1307" t="s">
        <v>2980</v>
      </c>
      <c r="E1307" t="s">
        <v>2981</v>
      </c>
      <c r="F1307" t="s">
        <v>2982</v>
      </c>
      <c r="G1307" t="s">
        <v>2983</v>
      </c>
    </row>
    <row r="1308" spans="1:7" x14ac:dyDescent="0.25">
      <c r="A1308">
        <v>80128028900</v>
      </c>
      <c r="B1308" t="s">
        <v>2984</v>
      </c>
      <c r="C1308" t="str">
        <f>"18136358023518086"</f>
        <v>18136358023518086</v>
      </c>
      <c r="D1308" t="s">
        <v>2985</v>
      </c>
      <c r="E1308" t="s">
        <v>2986</v>
      </c>
      <c r="F1308" t="s">
        <v>2987</v>
      </c>
      <c r="G1308" t="s">
        <v>2988</v>
      </c>
    </row>
    <row r="1309" spans="1:7" x14ac:dyDescent="0.25">
      <c r="A1309">
        <v>6336706100</v>
      </c>
      <c r="B1309" t="s">
        <v>2989</v>
      </c>
      <c r="C1309" t="str">
        <f>"17973470264853104"</f>
        <v>17973470264853104</v>
      </c>
      <c r="D1309" t="s">
        <v>2990</v>
      </c>
      <c r="E1309" t="s">
        <v>2991</v>
      </c>
      <c r="F1309" t="s">
        <v>2992</v>
      </c>
      <c r="G1309" t="s">
        <v>2993</v>
      </c>
    </row>
    <row r="1310" spans="1:7" x14ac:dyDescent="0.25">
      <c r="A1310">
        <v>8575114206</v>
      </c>
      <c r="B1310" t="s">
        <v>2994</v>
      </c>
      <c r="C1310" t="str">
        <f>"18120152539620296"</f>
        <v>18120152539620296</v>
      </c>
      <c r="E1310" t="s">
        <v>2995</v>
      </c>
      <c r="F1310" t="s">
        <v>2996</v>
      </c>
      <c r="G1310" t="s">
        <v>2997</v>
      </c>
    </row>
    <row r="1311" spans="1:7" x14ac:dyDescent="0.25">
      <c r="A1311">
        <v>724204872</v>
      </c>
      <c r="B1311" t="s">
        <v>2728</v>
      </c>
      <c r="C1311" t="str">
        <f>"17917010844326761"</f>
        <v>17917010844326761</v>
      </c>
      <c r="D1311" t="s">
        <v>2998</v>
      </c>
      <c r="E1311" t="s">
        <v>2999</v>
      </c>
      <c r="F1311" t="s">
        <v>2731</v>
      </c>
      <c r="G1311" t="s">
        <v>3000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Mídia Consulte Artes</cp:lastModifiedBy>
  <dcterms:created xsi:type="dcterms:W3CDTF">2026-04-06T05:35:37Z</dcterms:created>
  <dcterms:modified xsi:type="dcterms:W3CDTF">2026-04-06T05:40:57Z</dcterms:modified>
</cp:coreProperties>
</file>