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mc:AlternateContent xmlns:mc="http://schemas.openxmlformats.org/markup-compatibility/2006">
    <mc:Choice Requires="x15">
      <x15ac:absPath xmlns:x15ac="http://schemas.microsoft.com/office/spreadsheetml/2010/11/ac" url="C:\Users\win\Downloads\Nova pasta\"/>
    </mc:Choice>
  </mc:AlternateContent>
  <xr:revisionPtr revIDLastSave="0" documentId="13_ncr:1_{4A3F04F6-7D06-4E28-AADA-80A5F92A7899}"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11" i="1" l="1"/>
  <c r="A1310" i="1"/>
  <c r="A1309" i="1"/>
  <c r="A1308" i="1"/>
  <c r="A1307" i="1"/>
  <c r="A1306" i="1"/>
  <c r="A1305" i="1"/>
  <c r="A1304" i="1"/>
  <c r="A1303" i="1"/>
  <c r="A1302" i="1"/>
  <c r="A1301" i="1"/>
  <c r="A1300" i="1"/>
  <c r="A1299" i="1"/>
  <c r="A1298" i="1"/>
  <c r="A1297" i="1"/>
  <c r="A1296" i="1"/>
  <c r="A1295" i="1"/>
  <c r="A1294" i="1"/>
  <c r="A1293" i="1"/>
  <c r="A1292" i="1"/>
  <c r="A1291" i="1"/>
  <c r="A1290" i="1"/>
  <c r="A1289" i="1"/>
  <c r="A1288" i="1"/>
  <c r="A1287" i="1"/>
  <c r="A1286" i="1"/>
  <c r="A1285" i="1"/>
  <c r="A1284" i="1"/>
  <c r="A1283" i="1"/>
  <c r="A1282" i="1"/>
  <c r="A1281" i="1"/>
  <c r="A1280" i="1"/>
  <c r="A1279" i="1"/>
  <c r="A1278" i="1"/>
  <c r="A1277" i="1"/>
  <c r="A1276" i="1"/>
  <c r="A1275" i="1"/>
  <c r="A1274" i="1"/>
  <c r="A1273" i="1"/>
  <c r="A1272" i="1"/>
  <c r="A1271" i="1"/>
  <c r="A1270" i="1"/>
  <c r="A1269" i="1"/>
  <c r="A1268" i="1"/>
  <c r="A1267" i="1"/>
  <c r="A1266" i="1"/>
  <c r="A1265" i="1"/>
  <c r="A1264" i="1"/>
  <c r="A1263" i="1"/>
  <c r="A1262" i="1"/>
  <c r="A1261" i="1"/>
  <c r="A1260" i="1"/>
  <c r="A1259" i="1"/>
  <c r="A1258" i="1"/>
  <c r="A1257" i="1"/>
  <c r="A1256" i="1"/>
  <c r="A1255" i="1"/>
  <c r="A1254" i="1"/>
  <c r="A1253" i="1"/>
  <c r="A1252" i="1"/>
  <c r="A1251" i="1"/>
  <c r="A1250" i="1"/>
  <c r="A1249" i="1"/>
  <c r="A1248" i="1"/>
  <c r="A1247" i="1"/>
  <c r="A1246" i="1"/>
  <c r="A1245" i="1"/>
  <c r="A1244" i="1"/>
  <c r="A1243" i="1"/>
  <c r="A1242" i="1"/>
  <c r="A1241" i="1"/>
  <c r="A1240" i="1"/>
  <c r="A1239" i="1"/>
  <c r="A1238" i="1"/>
  <c r="A1237" i="1"/>
  <c r="A1236" i="1"/>
  <c r="A1235" i="1"/>
  <c r="A1234" i="1"/>
  <c r="A1233" i="1"/>
  <c r="A1232" i="1"/>
  <c r="A1231" i="1"/>
  <c r="A1230" i="1"/>
  <c r="A1229" i="1"/>
  <c r="A1228" i="1"/>
  <c r="A1227" i="1"/>
  <c r="A1226" i="1"/>
  <c r="A1225" i="1"/>
  <c r="A1224" i="1"/>
  <c r="A1223" i="1"/>
  <c r="A1222" i="1"/>
  <c r="A1221" i="1"/>
  <c r="A1220" i="1"/>
  <c r="A1219" i="1"/>
  <c r="A1218" i="1"/>
  <c r="A1217" i="1"/>
  <c r="A1216" i="1"/>
  <c r="A1215" i="1"/>
  <c r="A1214" i="1"/>
  <c r="A1213" i="1"/>
  <c r="A1212" i="1"/>
  <c r="A1211" i="1"/>
  <c r="A1210" i="1"/>
  <c r="A1209" i="1"/>
  <c r="A1208" i="1"/>
  <c r="A1207" i="1"/>
  <c r="A1206" i="1"/>
  <c r="A1205" i="1"/>
  <c r="A1204" i="1"/>
  <c r="A1203" i="1"/>
  <c r="A1202" i="1"/>
  <c r="A1201" i="1"/>
  <c r="A1200" i="1"/>
  <c r="A1199" i="1"/>
  <c r="A1198" i="1"/>
  <c r="A1197" i="1"/>
  <c r="A1196" i="1"/>
  <c r="A1195" i="1"/>
  <c r="A1194" i="1"/>
  <c r="A1193" i="1"/>
  <c r="A1192" i="1"/>
  <c r="A1191" i="1"/>
  <c r="A1190" i="1"/>
  <c r="A1189" i="1"/>
  <c r="A1188" i="1"/>
  <c r="A1187" i="1"/>
  <c r="A1186" i="1"/>
  <c r="A1185" i="1"/>
  <c r="A1184" i="1"/>
  <c r="A1183" i="1"/>
  <c r="A1182" i="1"/>
  <c r="A1181" i="1"/>
  <c r="A1180" i="1"/>
  <c r="A1179" i="1"/>
  <c r="A1178" i="1"/>
  <c r="A1177" i="1"/>
  <c r="A1176" i="1"/>
  <c r="A1175" i="1"/>
  <c r="A1174" i="1"/>
  <c r="A1173" i="1"/>
  <c r="A1172" i="1"/>
  <c r="A1171" i="1"/>
  <c r="A1170" i="1"/>
  <c r="A1169" i="1"/>
  <c r="A1168" i="1"/>
  <c r="A1167" i="1"/>
  <c r="A1166" i="1"/>
  <c r="A1165" i="1"/>
  <c r="A1164" i="1"/>
  <c r="A1163" i="1"/>
  <c r="A1162" i="1"/>
  <c r="A1161" i="1"/>
  <c r="A1160" i="1"/>
  <c r="A1159" i="1"/>
  <c r="A1158" i="1"/>
  <c r="A1157" i="1"/>
  <c r="A1156" i="1"/>
  <c r="A1155" i="1"/>
  <c r="A1154" i="1"/>
  <c r="A1153" i="1"/>
  <c r="A1152" i="1"/>
  <c r="A1151" i="1"/>
  <c r="A1150" i="1"/>
  <c r="A1149" i="1"/>
  <c r="A1148" i="1"/>
  <c r="A1147" i="1"/>
  <c r="A1146" i="1"/>
  <c r="A1145" i="1"/>
  <c r="A1144" i="1"/>
  <c r="A1143" i="1"/>
  <c r="A1142" i="1"/>
  <c r="A1141" i="1"/>
  <c r="A1140" i="1"/>
  <c r="A1139" i="1"/>
  <c r="A1138" i="1"/>
  <c r="A1137" i="1"/>
  <c r="A1136" i="1"/>
  <c r="A1135" i="1"/>
  <c r="A1134" i="1"/>
  <c r="A1133" i="1"/>
  <c r="A1132" i="1"/>
  <c r="A1131" i="1"/>
  <c r="A1130" i="1"/>
  <c r="A1129" i="1"/>
  <c r="A1128" i="1"/>
  <c r="A1127" i="1"/>
  <c r="A1126" i="1"/>
  <c r="A1125" i="1"/>
  <c r="A1124" i="1"/>
  <c r="A1123" i="1"/>
  <c r="A1122" i="1"/>
  <c r="A1121" i="1"/>
  <c r="A1120" i="1"/>
  <c r="A1119" i="1"/>
  <c r="A1118" i="1"/>
  <c r="A1117" i="1"/>
  <c r="A1116" i="1"/>
  <c r="A1115" i="1"/>
  <c r="A1114" i="1"/>
  <c r="A1113" i="1"/>
  <c r="A1112" i="1"/>
  <c r="A1111" i="1"/>
  <c r="A1110" i="1"/>
  <c r="A1109" i="1"/>
  <c r="A1108" i="1"/>
  <c r="A1107" i="1"/>
  <c r="A1106" i="1"/>
  <c r="A1105" i="1"/>
  <c r="A1104" i="1"/>
  <c r="A1103" i="1"/>
  <c r="A1102" i="1"/>
  <c r="A1101" i="1"/>
  <c r="A1100" i="1"/>
  <c r="A1099" i="1"/>
  <c r="A1098" i="1"/>
  <c r="A1097" i="1"/>
  <c r="A1096" i="1"/>
  <c r="A1095" i="1"/>
  <c r="A1094" i="1"/>
  <c r="A1093" i="1"/>
  <c r="A1092" i="1"/>
  <c r="A1091" i="1"/>
  <c r="A1090" i="1"/>
  <c r="A1089" i="1"/>
  <c r="A1088" i="1"/>
  <c r="A1087" i="1"/>
  <c r="A1086" i="1"/>
  <c r="A1085" i="1"/>
  <c r="A1084" i="1"/>
  <c r="A1083" i="1"/>
  <c r="A1082" i="1"/>
  <c r="A1081" i="1"/>
  <c r="A1080" i="1"/>
  <c r="A1079" i="1"/>
  <c r="A1078" i="1"/>
  <c r="A1077" i="1"/>
  <c r="A1076" i="1"/>
  <c r="A1075" i="1"/>
  <c r="A1074" i="1"/>
  <c r="A1073" i="1"/>
  <c r="A1072" i="1"/>
  <c r="A1071" i="1"/>
  <c r="A1070" i="1"/>
  <c r="A1069" i="1"/>
  <c r="A1068" i="1"/>
  <c r="A1067" i="1"/>
  <c r="A1066" i="1"/>
  <c r="A1065" i="1"/>
  <c r="A1064" i="1"/>
  <c r="A1063" i="1"/>
  <c r="A1062" i="1"/>
  <c r="A1061" i="1"/>
  <c r="A1060" i="1"/>
  <c r="A1059" i="1"/>
  <c r="A1058" i="1"/>
  <c r="A1057" i="1"/>
  <c r="A1056" i="1"/>
  <c r="A1055" i="1"/>
  <c r="A1054" i="1"/>
  <c r="A1053" i="1"/>
  <c r="A1052" i="1"/>
  <c r="A1051" i="1"/>
  <c r="A1050" i="1"/>
  <c r="A1049" i="1"/>
  <c r="A1048" i="1"/>
  <c r="A1047" i="1"/>
  <c r="A1046" i="1"/>
  <c r="A1045" i="1"/>
  <c r="A1044" i="1"/>
  <c r="A1043" i="1"/>
  <c r="A1042" i="1"/>
  <c r="A1041" i="1"/>
  <c r="A1040" i="1"/>
  <c r="A1039" i="1"/>
  <c r="A1038" i="1"/>
  <c r="A1037" i="1"/>
  <c r="A1036" i="1"/>
  <c r="A1035" i="1"/>
  <c r="A1034" i="1"/>
  <c r="A1033" i="1"/>
  <c r="A1032" i="1"/>
  <c r="A1031" i="1"/>
  <c r="A1030" i="1"/>
  <c r="A1029" i="1"/>
  <c r="A1028" i="1"/>
  <c r="A1027" i="1"/>
  <c r="A1026" i="1"/>
  <c r="A1025" i="1"/>
  <c r="A1024" i="1"/>
  <c r="A1023" i="1"/>
  <c r="A1022" i="1"/>
  <c r="A1021" i="1"/>
  <c r="A1020" i="1"/>
  <c r="A1019" i="1"/>
  <c r="A1018" i="1"/>
  <c r="A1017" i="1"/>
  <c r="A1016" i="1"/>
  <c r="A1015" i="1"/>
  <c r="A1014" i="1"/>
  <c r="A1013" i="1"/>
  <c r="A1012" i="1"/>
  <c r="A1011" i="1"/>
  <c r="A1010" i="1"/>
  <c r="A1009" i="1"/>
  <c r="A1008" i="1"/>
  <c r="A1007" i="1"/>
  <c r="A1006" i="1"/>
  <c r="A1005" i="1"/>
  <c r="A1004" i="1"/>
  <c r="A1003" i="1"/>
  <c r="A1002" i="1"/>
  <c r="A1001" i="1"/>
  <c r="A1000" i="1"/>
  <c r="A999" i="1"/>
  <c r="A998" i="1"/>
  <c r="A997" i="1"/>
  <c r="A996" i="1"/>
  <c r="A995" i="1"/>
  <c r="A994" i="1"/>
  <c r="A993" i="1"/>
  <c r="A992" i="1"/>
  <c r="A991" i="1"/>
  <c r="A990" i="1"/>
  <c r="A989" i="1"/>
  <c r="A988" i="1"/>
  <c r="A987" i="1"/>
  <c r="A986" i="1"/>
  <c r="A985" i="1"/>
  <c r="A984" i="1"/>
  <c r="A983" i="1"/>
  <c r="A982" i="1"/>
  <c r="A981" i="1"/>
  <c r="A980" i="1"/>
  <c r="A979" i="1"/>
  <c r="A978" i="1"/>
  <c r="A977" i="1"/>
  <c r="A976" i="1"/>
  <c r="A975" i="1"/>
  <c r="A974" i="1"/>
  <c r="A973" i="1"/>
  <c r="A972" i="1"/>
  <c r="A971" i="1"/>
  <c r="A970" i="1"/>
  <c r="A969" i="1"/>
  <c r="A968" i="1"/>
  <c r="A967" i="1"/>
  <c r="A966" i="1"/>
  <c r="A965" i="1"/>
  <c r="A964" i="1"/>
  <c r="A963" i="1"/>
  <c r="A962" i="1"/>
  <c r="A961" i="1"/>
  <c r="A960" i="1"/>
  <c r="A959" i="1"/>
  <c r="A958" i="1"/>
  <c r="A957" i="1"/>
  <c r="A956" i="1"/>
  <c r="A955" i="1"/>
  <c r="A954" i="1"/>
  <c r="A953" i="1"/>
  <c r="A952" i="1"/>
  <c r="A951" i="1"/>
  <c r="A950" i="1"/>
  <c r="A949" i="1"/>
  <c r="A948" i="1"/>
  <c r="A947" i="1"/>
  <c r="A946" i="1"/>
  <c r="A945" i="1"/>
  <c r="A944" i="1"/>
  <c r="A943" i="1"/>
  <c r="A942" i="1"/>
  <c r="A941" i="1"/>
  <c r="A940" i="1"/>
  <c r="A939" i="1"/>
  <c r="A938" i="1"/>
  <c r="A937" i="1"/>
  <c r="A936" i="1"/>
  <c r="A935" i="1"/>
  <c r="A934" i="1"/>
  <c r="A933" i="1"/>
  <c r="A932" i="1"/>
  <c r="A931" i="1"/>
  <c r="A930" i="1"/>
  <c r="A929" i="1"/>
  <c r="A928" i="1"/>
  <c r="A927" i="1"/>
  <c r="A926" i="1"/>
  <c r="A925" i="1"/>
  <c r="A924" i="1"/>
  <c r="A923" i="1"/>
  <c r="A922" i="1"/>
  <c r="A921" i="1"/>
  <c r="A920" i="1"/>
  <c r="A919" i="1"/>
  <c r="A918" i="1"/>
  <c r="A917" i="1"/>
  <c r="A916" i="1"/>
  <c r="A915" i="1"/>
  <c r="A914" i="1"/>
  <c r="A913" i="1"/>
  <c r="A912" i="1"/>
  <c r="A911" i="1"/>
  <c r="A910" i="1"/>
  <c r="A909" i="1"/>
  <c r="A908" i="1"/>
  <c r="A907" i="1"/>
  <c r="A906" i="1"/>
  <c r="A905" i="1"/>
  <c r="A904" i="1"/>
  <c r="A903" i="1"/>
  <c r="A902" i="1"/>
  <c r="A901" i="1"/>
  <c r="A900" i="1"/>
  <c r="A899" i="1"/>
  <c r="A898" i="1"/>
  <c r="A897" i="1"/>
  <c r="A896" i="1"/>
  <c r="A895" i="1"/>
  <c r="A894" i="1"/>
  <c r="A893" i="1"/>
  <c r="A892" i="1"/>
  <c r="A891" i="1"/>
  <c r="A890" i="1"/>
  <c r="A889" i="1"/>
  <c r="A888" i="1"/>
  <c r="A887" i="1"/>
  <c r="A886" i="1"/>
  <c r="A885" i="1"/>
  <c r="A884" i="1"/>
  <c r="A883" i="1"/>
  <c r="A882" i="1"/>
  <c r="A881" i="1"/>
  <c r="A880" i="1"/>
  <c r="A879" i="1"/>
  <c r="A878" i="1"/>
  <c r="A877" i="1"/>
  <c r="A876" i="1"/>
  <c r="A875" i="1"/>
  <c r="A874" i="1"/>
  <c r="A873" i="1"/>
  <c r="A872" i="1"/>
  <c r="A871" i="1"/>
  <c r="A870" i="1"/>
  <c r="A869" i="1"/>
  <c r="A868" i="1"/>
  <c r="A867" i="1"/>
  <c r="A866" i="1"/>
  <c r="A865" i="1"/>
  <c r="A864" i="1"/>
  <c r="A863" i="1"/>
  <c r="A862" i="1"/>
  <c r="A861" i="1"/>
  <c r="A860" i="1"/>
  <c r="A859" i="1"/>
  <c r="A858" i="1"/>
  <c r="A857" i="1"/>
  <c r="A856" i="1"/>
  <c r="A855" i="1"/>
  <c r="A854" i="1"/>
  <c r="A853" i="1"/>
  <c r="A852" i="1"/>
  <c r="A851" i="1"/>
  <c r="A850" i="1"/>
  <c r="A849" i="1"/>
  <c r="A848" i="1"/>
  <c r="A847" i="1"/>
  <c r="A846" i="1"/>
  <c r="A845" i="1"/>
  <c r="A844" i="1"/>
  <c r="A843" i="1"/>
  <c r="A842" i="1"/>
  <c r="A841" i="1"/>
  <c r="A840" i="1"/>
  <c r="A839" i="1"/>
  <c r="A838" i="1"/>
  <c r="A837" i="1"/>
  <c r="A836" i="1"/>
  <c r="A835" i="1"/>
  <c r="A834" i="1"/>
  <c r="A833" i="1"/>
  <c r="A832" i="1"/>
  <c r="A831" i="1"/>
  <c r="A830" i="1"/>
  <c r="A829" i="1"/>
  <c r="A828" i="1"/>
  <c r="A827" i="1"/>
  <c r="A826" i="1"/>
  <c r="A825" i="1"/>
  <c r="A824" i="1"/>
  <c r="A823" i="1"/>
  <c r="A822" i="1"/>
  <c r="A821" i="1"/>
  <c r="A820" i="1"/>
  <c r="A819" i="1"/>
  <c r="A818" i="1"/>
  <c r="A817" i="1"/>
  <c r="A816" i="1"/>
  <c r="A815" i="1"/>
  <c r="A814" i="1"/>
  <c r="A813" i="1"/>
  <c r="A812" i="1"/>
  <c r="A811" i="1"/>
  <c r="A810" i="1"/>
  <c r="A809" i="1"/>
  <c r="A808" i="1"/>
  <c r="A807" i="1"/>
  <c r="A806" i="1"/>
  <c r="A805" i="1"/>
  <c r="A804" i="1"/>
  <c r="A803" i="1"/>
  <c r="A802" i="1"/>
  <c r="A801" i="1"/>
  <c r="A800" i="1"/>
  <c r="A799" i="1"/>
  <c r="A798" i="1"/>
  <c r="A797" i="1"/>
  <c r="A796" i="1"/>
  <c r="A795" i="1"/>
  <c r="A794" i="1"/>
  <c r="A793" i="1"/>
  <c r="A792" i="1"/>
  <c r="A791" i="1"/>
  <c r="A790" i="1"/>
  <c r="A789" i="1"/>
  <c r="A788" i="1"/>
  <c r="A787" i="1"/>
  <c r="A786" i="1"/>
  <c r="A785" i="1"/>
  <c r="A784" i="1"/>
  <c r="A783" i="1"/>
  <c r="A782" i="1"/>
  <c r="A781" i="1"/>
  <c r="A780" i="1"/>
  <c r="A779" i="1"/>
  <c r="A778" i="1"/>
  <c r="A777" i="1"/>
  <c r="A776" i="1"/>
  <c r="A775" i="1"/>
  <c r="A774" i="1"/>
  <c r="A773" i="1"/>
  <c r="A772" i="1"/>
  <c r="A771" i="1"/>
  <c r="A770" i="1"/>
  <c r="A769" i="1"/>
  <c r="A768" i="1"/>
  <c r="A767" i="1"/>
  <c r="A766" i="1"/>
  <c r="A765" i="1"/>
  <c r="A764" i="1"/>
  <c r="A763" i="1"/>
  <c r="A762" i="1"/>
  <c r="A761" i="1"/>
  <c r="A760" i="1"/>
  <c r="A759" i="1"/>
  <c r="A758" i="1"/>
  <c r="A757" i="1"/>
  <c r="A756" i="1"/>
  <c r="A755" i="1"/>
  <c r="A754" i="1"/>
  <c r="A753" i="1"/>
  <c r="A752" i="1"/>
  <c r="A751" i="1"/>
  <c r="A750" i="1"/>
  <c r="A749" i="1"/>
  <c r="A748" i="1"/>
  <c r="A747" i="1"/>
  <c r="A746" i="1"/>
  <c r="A745" i="1"/>
  <c r="A744" i="1"/>
  <c r="A743" i="1"/>
  <c r="A742" i="1"/>
  <c r="A741" i="1"/>
  <c r="A740" i="1"/>
  <c r="A739" i="1"/>
  <c r="A738" i="1"/>
  <c r="A737" i="1"/>
  <c r="A736" i="1"/>
  <c r="A735" i="1"/>
  <c r="A734" i="1"/>
  <c r="A733" i="1"/>
  <c r="A732" i="1"/>
  <c r="A731" i="1"/>
  <c r="A730" i="1"/>
  <c r="A729" i="1"/>
  <c r="A728" i="1"/>
  <c r="A727" i="1"/>
  <c r="A726" i="1"/>
  <c r="A725" i="1"/>
  <c r="A724" i="1"/>
  <c r="A723" i="1"/>
  <c r="A722" i="1"/>
  <c r="A721" i="1"/>
  <c r="A720" i="1"/>
  <c r="A719" i="1"/>
  <c r="A718" i="1"/>
  <c r="A717" i="1"/>
  <c r="A716" i="1"/>
  <c r="A715" i="1"/>
  <c r="A714" i="1"/>
  <c r="A713" i="1"/>
  <c r="A712" i="1"/>
  <c r="A711" i="1"/>
  <c r="A710" i="1"/>
  <c r="A709" i="1"/>
  <c r="A708" i="1"/>
  <c r="A707" i="1"/>
  <c r="A706" i="1"/>
  <c r="A705" i="1"/>
  <c r="A704" i="1"/>
  <c r="A703" i="1"/>
  <c r="A702" i="1"/>
  <c r="A701" i="1"/>
  <c r="A700" i="1"/>
  <c r="A699" i="1"/>
  <c r="A698" i="1"/>
  <c r="A697" i="1"/>
  <c r="A696" i="1"/>
  <c r="A695" i="1"/>
  <c r="A694" i="1"/>
  <c r="A693" i="1"/>
  <c r="A692" i="1"/>
  <c r="A691" i="1"/>
  <c r="A690" i="1"/>
  <c r="A689" i="1"/>
  <c r="A688" i="1"/>
  <c r="A687" i="1"/>
  <c r="A686" i="1"/>
  <c r="A685" i="1"/>
  <c r="A684" i="1"/>
  <c r="A683" i="1"/>
  <c r="A682" i="1"/>
  <c r="A681" i="1"/>
  <c r="A680" i="1"/>
  <c r="A679" i="1"/>
  <c r="A678" i="1"/>
  <c r="A677" i="1"/>
  <c r="A676" i="1"/>
  <c r="A675" i="1"/>
  <c r="A674" i="1"/>
  <c r="A673" i="1"/>
  <c r="A672" i="1"/>
  <c r="A671" i="1"/>
  <c r="A670" i="1"/>
  <c r="A669" i="1"/>
  <c r="A668" i="1"/>
  <c r="A667" i="1"/>
  <c r="A666" i="1"/>
  <c r="A665" i="1"/>
  <c r="A664" i="1"/>
  <c r="A663" i="1"/>
  <c r="A662" i="1"/>
  <c r="A661" i="1"/>
  <c r="A660" i="1"/>
  <c r="A659" i="1"/>
  <c r="A658" i="1"/>
  <c r="A657" i="1"/>
  <c r="A656" i="1"/>
  <c r="A655" i="1"/>
  <c r="A654" i="1"/>
  <c r="A653" i="1"/>
  <c r="A652" i="1"/>
  <c r="A651" i="1"/>
  <c r="A650" i="1"/>
  <c r="A649" i="1"/>
  <c r="A648" i="1"/>
  <c r="A647" i="1"/>
  <c r="A646" i="1"/>
  <c r="A645" i="1"/>
  <c r="A644" i="1"/>
  <c r="A643" i="1"/>
  <c r="A642" i="1"/>
  <c r="A641" i="1"/>
  <c r="A640" i="1"/>
  <c r="A639" i="1"/>
  <c r="A638" i="1"/>
  <c r="A637" i="1"/>
  <c r="A636" i="1"/>
  <c r="A635" i="1"/>
  <c r="A634" i="1"/>
  <c r="A633" i="1"/>
  <c r="A632" i="1"/>
  <c r="A631" i="1"/>
  <c r="A630" i="1"/>
  <c r="A629" i="1"/>
  <c r="A628" i="1"/>
  <c r="A627" i="1"/>
  <c r="A626" i="1"/>
  <c r="A625" i="1"/>
  <c r="A624" i="1"/>
  <c r="A623" i="1"/>
  <c r="A622" i="1"/>
  <c r="A621" i="1"/>
  <c r="A620" i="1"/>
  <c r="A619" i="1"/>
  <c r="A618" i="1"/>
  <c r="A617" i="1"/>
  <c r="A616" i="1"/>
  <c r="A615" i="1"/>
  <c r="A614" i="1"/>
  <c r="A613" i="1"/>
  <c r="A612" i="1"/>
  <c r="A611" i="1"/>
  <c r="A610" i="1"/>
  <c r="A609" i="1"/>
  <c r="A608" i="1"/>
  <c r="A607" i="1"/>
  <c r="A606" i="1"/>
  <c r="A605" i="1"/>
  <c r="A604" i="1"/>
  <c r="A603" i="1"/>
  <c r="A602" i="1"/>
  <c r="A601" i="1"/>
  <c r="A600" i="1"/>
  <c r="A599" i="1"/>
  <c r="A598" i="1"/>
  <c r="A597" i="1"/>
  <c r="A596" i="1"/>
  <c r="A595" i="1"/>
  <c r="A594" i="1"/>
  <c r="A593" i="1"/>
  <c r="A592" i="1"/>
  <c r="A591" i="1"/>
  <c r="A590" i="1"/>
  <c r="A589" i="1"/>
  <c r="A588" i="1"/>
  <c r="A587" i="1"/>
  <c r="A586" i="1"/>
  <c r="A585" i="1"/>
  <c r="A584" i="1"/>
  <c r="A583" i="1"/>
  <c r="A582" i="1"/>
  <c r="A581" i="1"/>
  <c r="A580" i="1"/>
  <c r="A579" i="1"/>
  <c r="A578" i="1"/>
  <c r="A577" i="1"/>
  <c r="A576" i="1"/>
  <c r="A575" i="1"/>
  <c r="A574" i="1"/>
  <c r="A573" i="1"/>
  <c r="A572" i="1"/>
  <c r="A571" i="1"/>
  <c r="A570" i="1"/>
  <c r="A569" i="1"/>
  <c r="A568" i="1"/>
  <c r="A567" i="1"/>
  <c r="A566" i="1"/>
  <c r="A565" i="1"/>
  <c r="A564" i="1"/>
  <c r="A563" i="1"/>
  <c r="A562" i="1"/>
  <c r="A561" i="1"/>
  <c r="A560" i="1"/>
  <c r="A559" i="1"/>
  <c r="A558" i="1"/>
  <c r="A557" i="1"/>
  <c r="A556" i="1"/>
  <c r="A555" i="1"/>
  <c r="A554" i="1"/>
  <c r="A553" i="1"/>
  <c r="A552" i="1"/>
  <c r="A551" i="1"/>
  <c r="A550" i="1"/>
  <c r="A549" i="1"/>
  <c r="A548" i="1"/>
  <c r="A547" i="1"/>
  <c r="A546" i="1"/>
  <c r="A545" i="1"/>
  <c r="A544" i="1"/>
  <c r="A543" i="1"/>
  <c r="A542" i="1"/>
  <c r="A541" i="1"/>
  <c r="A540" i="1"/>
  <c r="A539" i="1"/>
  <c r="A538" i="1"/>
  <c r="A537" i="1"/>
  <c r="A536" i="1"/>
  <c r="A535" i="1"/>
  <c r="A534" i="1"/>
  <c r="A533" i="1"/>
  <c r="A532" i="1"/>
  <c r="A531" i="1"/>
  <c r="A530" i="1"/>
  <c r="A529" i="1"/>
  <c r="A528" i="1"/>
  <c r="A527" i="1"/>
  <c r="A526" i="1"/>
  <c r="A525" i="1"/>
  <c r="A524" i="1"/>
  <c r="A523" i="1"/>
  <c r="A522" i="1"/>
  <c r="A521" i="1"/>
  <c r="A520" i="1"/>
  <c r="A519" i="1"/>
  <c r="A518" i="1"/>
  <c r="A517" i="1"/>
  <c r="A516" i="1"/>
  <c r="A515" i="1"/>
  <c r="A514" i="1"/>
  <c r="A513" i="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A449" i="1"/>
  <c r="A448" i="1"/>
  <c r="A447" i="1"/>
  <c r="A446" i="1"/>
  <c r="A445" i="1"/>
  <c r="A444" i="1"/>
  <c r="A443" i="1"/>
  <c r="A442" i="1"/>
  <c r="A441" i="1"/>
  <c r="A440" i="1"/>
  <c r="A439" i="1"/>
  <c r="A438" i="1"/>
  <c r="A437" i="1"/>
  <c r="A436" i="1"/>
  <c r="A435" i="1"/>
  <c r="A434" i="1"/>
  <c r="A433" i="1"/>
  <c r="A432" i="1"/>
  <c r="A431" i="1"/>
  <c r="A430" i="1"/>
  <c r="A429" i="1"/>
  <c r="A428" i="1"/>
  <c r="A427" i="1"/>
  <c r="A426" i="1"/>
  <c r="A425" i="1"/>
  <c r="A424" i="1"/>
  <c r="A423" i="1"/>
  <c r="A422" i="1"/>
  <c r="A421" i="1"/>
  <c r="A420" i="1"/>
  <c r="A419" i="1"/>
  <c r="A418" i="1"/>
  <c r="A417" i="1"/>
  <c r="A416" i="1"/>
  <c r="A415" i="1"/>
  <c r="A414" i="1"/>
  <c r="A413" i="1"/>
  <c r="A412" i="1"/>
  <c r="A411" i="1"/>
  <c r="A410" i="1"/>
  <c r="A409" i="1"/>
  <c r="A408" i="1"/>
  <c r="A407" i="1"/>
  <c r="A406" i="1"/>
  <c r="A405" i="1"/>
  <c r="A404" i="1"/>
  <c r="A403" i="1"/>
  <c r="A402" i="1"/>
  <c r="A401" i="1"/>
  <c r="A400" i="1"/>
  <c r="A399" i="1"/>
  <c r="A398" i="1"/>
  <c r="A397" i="1"/>
  <c r="A396" i="1"/>
  <c r="A395" i="1"/>
  <c r="A394" i="1"/>
  <c r="A393" i="1"/>
  <c r="A392" i="1"/>
  <c r="A391" i="1"/>
  <c r="A390" i="1"/>
  <c r="A389" i="1"/>
  <c r="A388" i="1"/>
  <c r="A387" i="1"/>
  <c r="A386" i="1"/>
  <c r="A385" i="1"/>
  <c r="A384" i="1"/>
  <c r="A383" i="1"/>
  <c r="A382" i="1"/>
  <c r="A381" i="1"/>
  <c r="A380" i="1"/>
  <c r="A379" i="1"/>
  <c r="A378" i="1"/>
  <c r="A377" i="1"/>
  <c r="A376" i="1"/>
  <c r="A375" i="1"/>
  <c r="A374" i="1"/>
  <c r="A373" i="1"/>
  <c r="A372" i="1"/>
  <c r="A371" i="1"/>
  <c r="A370" i="1"/>
  <c r="A369" i="1"/>
  <c r="A368" i="1"/>
  <c r="A367" i="1"/>
  <c r="A366" i="1"/>
  <c r="A365" i="1"/>
  <c r="A364" i="1"/>
  <c r="A363" i="1"/>
  <c r="A362" i="1"/>
  <c r="A361" i="1"/>
  <c r="A360" i="1"/>
  <c r="A359" i="1"/>
  <c r="A358" i="1"/>
  <c r="A357" i="1"/>
  <c r="A356" i="1"/>
  <c r="A355" i="1"/>
  <c r="A354" i="1"/>
  <c r="A353" i="1"/>
  <c r="A352" i="1"/>
  <c r="A351" i="1"/>
  <c r="A350" i="1"/>
  <c r="A349" i="1"/>
  <c r="A348" i="1"/>
  <c r="A347" i="1"/>
  <c r="A346" i="1"/>
  <c r="A345" i="1"/>
  <c r="A344" i="1"/>
  <c r="A343" i="1"/>
  <c r="A342" i="1"/>
  <c r="A341" i="1"/>
  <c r="A340" i="1"/>
  <c r="A339" i="1"/>
  <c r="A338" i="1"/>
  <c r="A337" i="1"/>
  <c r="A336" i="1"/>
  <c r="A335" i="1"/>
  <c r="A334" i="1"/>
  <c r="A333" i="1"/>
  <c r="A332" i="1"/>
  <c r="A331" i="1"/>
  <c r="A330" i="1"/>
  <c r="A329" i="1"/>
  <c r="A328" i="1"/>
  <c r="A327" i="1"/>
  <c r="A326" i="1"/>
  <c r="A325" i="1"/>
  <c r="A324" i="1"/>
  <c r="A323" i="1"/>
  <c r="A322" i="1"/>
  <c r="A321" i="1"/>
  <c r="A320" i="1"/>
  <c r="A319" i="1"/>
  <c r="A318" i="1"/>
  <c r="A317" i="1"/>
  <c r="A316" i="1"/>
  <c r="A315" i="1"/>
  <c r="A314" i="1"/>
  <c r="A313" i="1"/>
  <c r="A312" i="1"/>
  <c r="A311" i="1"/>
  <c r="A310" i="1"/>
  <c r="A309" i="1"/>
  <c r="A308" i="1"/>
  <c r="A307" i="1"/>
  <c r="A306" i="1"/>
  <c r="A305" i="1"/>
  <c r="A304" i="1"/>
  <c r="A303" i="1"/>
  <c r="A302" i="1"/>
  <c r="A301" i="1"/>
  <c r="A300" i="1"/>
  <c r="A299" i="1"/>
  <c r="A298" i="1"/>
  <c r="A297" i="1"/>
  <c r="A296" i="1"/>
  <c r="A295" i="1"/>
  <c r="A294" i="1"/>
  <c r="A293" i="1"/>
  <c r="A292" i="1"/>
  <c r="A291" i="1"/>
  <c r="A290" i="1"/>
  <c r="A289" i="1"/>
  <c r="A288" i="1"/>
  <c r="A287" i="1"/>
  <c r="A286" i="1"/>
  <c r="A285" i="1"/>
  <c r="A284" i="1"/>
  <c r="A283" i="1"/>
  <c r="A282" i="1"/>
  <c r="A281" i="1"/>
  <c r="A280" i="1"/>
  <c r="A279" i="1"/>
  <c r="A278" i="1"/>
  <c r="A277" i="1"/>
  <c r="A276" i="1"/>
  <c r="A275" i="1"/>
  <c r="A274" i="1"/>
  <c r="A273" i="1"/>
  <c r="A272" i="1"/>
  <c r="A271" i="1"/>
  <c r="A270" i="1"/>
  <c r="A269" i="1"/>
  <c r="A268" i="1"/>
  <c r="A267" i="1"/>
  <c r="A266" i="1"/>
  <c r="A265" i="1"/>
  <c r="A264" i="1"/>
  <c r="A263" i="1"/>
  <c r="A262" i="1"/>
  <c r="A261" i="1"/>
  <c r="A260" i="1"/>
  <c r="A259" i="1"/>
  <c r="A258" i="1"/>
  <c r="A257" i="1"/>
  <c r="A256" i="1"/>
  <c r="A255" i="1"/>
  <c r="A254" i="1"/>
  <c r="A253" i="1"/>
  <c r="A252" i="1"/>
  <c r="A251" i="1"/>
  <c r="A250" i="1"/>
  <c r="A249" i="1"/>
  <c r="A248" i="1"/>
  <c r="A247" i="1"/>
  <c r="A246" i="1"/>
  <c r="A245" i="1"/>
  <c r="A244" i="1"/>
  <c r="A243" i="1"/>
  <c r="A242" i="1"/>
  <c r="A241" i="1"/>
  <c r="A240" i="1"/>
  <c r="A239" i="1"/>
  <c r="A238" i="1"/>
  <c r="A237" i="1"/>
  <c r="A236" i="1"/>
  <c r="A235" i="1"/>
  <c r="A234" i="1"/>
  <c r="A233" i="1"/>
  <c r="A232" i="1"/>
  <c r="A231" i="1"/>
  <c r="A230" i="1"/>
  <c r="A229" i="1"/>
  <c r="A228" i="1"/>
  <c r="A227" i="1"/>
  <c r="A226" i="1"/>
  <c r="A225" i="1"/>
  <c r="A224" i="1"/>
  <c r="A223" i="1"/>
  <c r="A222" i="1"/>
  <c r="A221" i="1"/>
  <c r="A220" i="1"/>
  <c r="A219" i="1"/>
  <c r="A218" i="1"/>
  <c r="A217" i="1"/>
  <c r="A216" i="1"/>
  <c r="A215" i="1"/>
  <c r="A214" i="1"/>
  <c r="A213" i="1"/>
  <c r="A212" i="1"/>
  <c r="A211" i="1"/>
  <c r="A210" i="1"/>
  <c r="A209" i="1"/>
  <c r="A208" i="1"/>
  <c r="A207" i="1"/>
  <c r="A206" i="1"/>
  <c r="A205"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11" i="1"/>
  <c r="A110" i="1"/>
  <c r="A109" i="1"/>
  <c r="A108" i="1"/>
  <c r="A107" i="1"/>
  <c r="A106" i="1"/>
  <c r="A105" i="1"/>
  <c r="A104" i="1"/>
  <c r="A103"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1" i="1"/>
  <c r="A30" i="1"/>
  <c r="A29" i="1"/>
  <c r="A28" i="1"/>
  <c r="A27" i="1"/>
  <c r="A26" i="1"/>
  <c r="A25" i="1"/>
  <c r="A24" i="1"/>
  <c r="A23" i="1"/>
  <c r="A22" i="1"/>
  <c r="A21" i="1"/>
  <c r="A20" i="1"/>
  <c r="A19" i="1"/>
  <c r="A18" i="1"/>
  <c r="A17" i="1"/>
  <c r="A16" i="1"/>
  <c r="A15" i="1"/>
  <c r="A14" i="1"/>
  <c r="A13" i="1"/>
  <c r="A12" i="1"/>
  <c r="A11" i="1"/>
  <c r="A10" i="1"/>
  <c r="A9" i="1"/>
  <c r="A8" i="1"/>
  <c r="A7" i="1"/>
  <c r="A6" i="1"/>
  <c r="A5" i="1"/>
  <c r="A4" i="1"/>
  <c r="A3" i="1"/>
  <c r="A2" i="1"/>
</calcChain>
</file>

<file path=xl/sharedStrings.xml><?xml version="1.0" encoding="utf-8"?>
<sst xmlns="http://schemas.openxmlformats.org/spreadsheetml/2006/main" count="2621" uniqueCount="1190">
  <si>
    <t>ID do comentário</t>
  </si>
  <si>
    <t>Comente</t>
  </si>
  <si>
    <t>Hora dos comentários</t>
  </si>
  <si>
    <t>😍</t>
  </si>
  <si>
    <t>14/04/2020, 22:30:39</t>
  </si>
  <si>
    <t>🙌</t>
  </si>
  <si>
    <t>14/04/2020, 22:47:03</t>
  </si>
  <si>
    <t>👍🏻👍🏻👍🏻</t>
  </si>
  <si>
    <t>14/04/2020, 22:51:50</t>
  </si>
  <si>
    <t>👏👏</t>
  </si>
  <si>
    <t>14/04/2020, 23:16:18</t>
  </si>
  <si>
    <t>É vc @thatianagurgel  na foto ?</t>
  </si>
  <si>
    <t>08/04/2020, 20:55:04</t>
  </si>
  <si>
    <t>👏.👏🏻</t>
  </si>
  <si>
    <t>14/04/2020, 23:35:15</t>
  </si>
  <si>
    <t>Parabéns!</t>
  </si>
  <si>
    <t>21/08/2019, 21:47:24</t>
  </si>
  <si>
    <t>Perfeita😍amei👏👏👏</t>
  </si>
  <si>
    <t>12/01/2020, 16:24:37</t>
  </si>
  <si>
    <t>Me chama no direct!!</t>
  </si>
  <si>
    <t>11/02/2020, 14:56:57</t>
  </si>
  <si>
    <t>Check out my profile and get great travel coupons ✌</t>
  </si>
  <si>
    <t>22/10/2017, 08:35:53</t>
  </si>
  <si>
    <t>💕</t>
  </si>
  <si>
    <t>13/10/2017, 06:12:31</t>
  </si>
  <si>
    <t>Super cool!</t>
  </si>
  <si>
    <t>14/10/2017, 19:23:47</t>
  </si>
  <si>
    <t>🔝🔝🔝</t>
  </si>
  <si>
    <t>23/10/2017, 17:36:13</t>
  </si>
  <si>
    <t>Nice Photos!😆😊</t>
  </si>
  <si>
    <t>30/10/2017, 15:46:39</t>
  </si>
  <si>
    <t>☺</t>
  </si>
  <si>
    <t>31/10/2017, 21:32:35</t>
  </si>
  <si>
    <t>This is cool</t>
  </si>
  <si>
    <t>07/11/2017, 09:03:12</t>
  </si>
  <si>
    <t>👋👌</t>
  </si>
  <si>
    <t>04/11/2017, 22:21:02</t>
  </si>
  <si>
    <t>👏 👏</t>
  </si>
  <si>
    <t>16/11/2017, 23:39:54</t>
  </si>
  <si>
    <t>18/11/2017, 21:07:41</t>
  </si>
  <si>
    <t>Very cool!</t>
  </si>
  <si>
    <t>21/12/2017, 16:02:27</t>
  </si>
  <si>
    <t>Cool!</t>
  </si>
  <si>
    <t>23/12/2017, 14:34:54</t>
  </si>
  <si>
    <t>😊🌹🌹🌹🌹</t>
  </si>
  <si>
    <t>19/12/2017, 20:24:07</t>
  </si>
  <si>
    <t>👍🔝!</t>
  </si>
  <si>
    <t>18/12/2017, 21:12:47</t>
  </si>
  <si>
    <t>🔥💥</t>
  </si>
  <si>
    <t>07/12/2017, 05:53:26</t>
  </si>
  <si>
    <t>Nice! :-)</t>
  </si>
  <si>
    <t>05/05/2018, 16:10:16</t>
  </si>
  <si>
    <t>Keep on the good work!</t>
  </si>
  <si>
    <t>02/01/2018, 22:06:01</t>
  </si>
  <si>
    <t>Keep diggin it</t>
  </si>
  <si>
    <t>02/01/2018, 22:12:47</t>
  </si>
  <si>
    <t>Olá @revistaembarque Estou passando para divulgar o nosso perfil. Um abraço!</t>
  </si>
  <si>
    <t>21/05/2018, 00:11:18</t>
  </si>
  <si>
    <t>👍</t>
  </si>
  <si>
    <t>04/01/2018, 20:23:52</t>
  </si>
  <si>
    <t>Tasty 😍</t>
  </si>
  <si>
    <t>04/01/2018, 18:37:21</t>
  </si>
  <si>
    <t>finde ich gut die Impression ✨👁👱</t>
  </si>
  <si>
    <t>20/11/2018, 17:58:59</t>
  </si>
  <si>
    <t>💝</t>
  </si>
  <si>
    <t>29/12/2017, 06:44:18</t>
  </si>
  <si>
    <t>😉</t>
  </si>
  <si>
    <t>08/01/2018, 16:01:15</t>
  </si>
  <si>
    <t>09/01/2018, 17:10:03</t>
  </si>
  <si>
    <t>🙌 😊 😄</t>
  </si>
  <si>
    <t>28/01/2018, 00:35:01</t>
  </si>
  <si>
    <t>Uhuuuuuuu ❤️</t>
  </si>
  <si>
    <t>10/01/2018, 11:45:31</t>
  </si>
  <si>
    <t>📱</t>
  </si>
  <si>
    <t>11/01/2018, 03:15:58</t>
  </si>
  <si>
    <t>Muito bem! 😀</t>
  </si>
  <si>
    <t>13/01/2018, 22:42:55</t>
  </si>
  <si>
    <t>👏🏽👏🏽👏🏽👏🏽amei</t>
  </si>
  <si>
    <t>18/04/2019, 21:09:47</t>
  </si>
  <si>
    <t>18/04/2019, 21:10:05</t>
  </si>
  <si>
    <t>👏</t>
  </si>
  <si>
    <t>27/01/2018, 00:26:17</t>
  </si>
  <si>
    <t>19/01/2018, 22:13:57</t>
  </si>
  <si>
    <t>Whaou 😍</t>
  </si>
  <si>
    <t>06/02/2018, 05:42:26</t>
  </si>
  <si>
    <t>😉😉</t>
  </si>
  <si>
    <t>01/02/2018, 21:21:37</t>
  </si>
  <si>
    <t>🍀🍀💲</t>
  </si>
  <si>
    <t>02/05/2018, 03:24:05</t>
  </si>
  <si>
    <t>22/01/2018, 14:09:42</t>
  </si>
  <si>
    <t>👏🏻👏🏻</t>
  </si>
  <si>
    <t>22/01/2018, 14:47:14</t>
  </si>
  <si>
    <t>👏👏👏👏😱😱</t>
  </si>
  <si>
    <t>22/01/2018, 19:15:50</t>
  </si>
  <si>
    <t>Wow revistaembarque</t>
  </si>
  <si>
    <t>23/01/2018, 14:30:43</t>
  </si>
  <si>
    <t>Oiee blz? Siga-nos tb pra receber as novidades de Trancoso! 🌴🌊🏄🏊🌵🍀🌹🌼🌻🌾☁🌞✈🚁⛵♨</t>
  </si>
  <si>
    <t>25/01/2018, 17:11:34</t>
  </si>
  <si>
    <t>❤️❤️</t>
  </si>
  <si>
    <t>29/01/2018, 11:50:15</t>
  </si>
  <si>
    <t>@fabiomiranda18 @fabriciosantorini</t>
  </si>
  <si>
    <t>03/03/2018, 11:31:15</t>
  </si>
  <si>
    <t>Revista 𝐖 𝐖 𝐖14 . 𝐂 𝐔 𝐑 𝐓 𝐈 𝐃 𝐀 𝐒 𝐑 𝐄 𝐀 𝐈 𝐒 . 𝐂𝐎𝐌#ORd1M #Smb7N</t>
  </si>
  <si>
    <t>11/03/2018, 16:00:59</t>
  </si>
  <si>
    <t>😃✌...</t>
  </si>
  <si>
    <t>25/02/2018, 08:53:32</t>
  </si>
  <si>
    <t>Boaaa</t>
  </si>
  <si>
    <t>21/02/2018, 21:13:35</t>
  </si>
  <si>
    <t>👍 👏</t>
  </si>
  <si>
    <t>22/02/2018, 01:36:47</t>
  </si>
  <si>
    <t>Conheça também outros conteúdos hoteleiros</t>
  </si>
  <si>
    <t>20/03/2018, 13:21:36</t>
  </si>
  <si>
    <t>Curti demais depois da uma olhada na meu instagram acho que vai curtir 😝</t>
  </si>
  <si>
    <t>04/04/2018, 22:45:06</t>
  </si>
  <si>
    <t>✈🌎</t>
  </si>
  <si>
    <t>20/03/2018, 18:07:15</t>
  </si>
  <si>
    <t>❤</t>
  </si>
  <si>
    <t>23/03/2018, 12:08:41</t>
  </si>
  <si>
    <t>Gostei!!! Estou adorando as suas postagens ☺</t>
  </si>
  <si>
    <t>15/03/2018, 05:08:27</t>
  </si>
  <si>
    <t>@luizfernando_oliveira22</t>
  </si>
  <si>
    <t>01/04/2019, 19:50:56</t>
  </si>
  <si>
    <t>show revistaembarque</t>
  </si>
  <si>
    <t>24/04/2018, 18:51:34</t>
  </si>
  <si>
    <t>Cheers 🍻</t>
  </si>
  <si>
    <t>02/04/2018, 17:43:09</t>
  </si>
  <si>
    <t>✅...</t>
  </si>
  <si>
    <t>13/04/2018, 17:39:49</t>
  </si>
  <si>
    <t>@stefanomarcos @crisvieira034 @muradilaura olha!!!!</t>
  </si>
  <si>
    <t>06/04/2018, 13:50:21</t>
  </si>
  <si>
    <t>@martinsmarinaf Tks Marina!!! ❤️</t>
  </si>
  <si>
    <t>06/04/2018, 20:58:09</t>
  </si>
  <si>
    <t>Nice kak, saya suka😊😙
Cek igkita dong 😊😙</t>
  </si>
  <si>
    <t>06/04/2018, 16:14:18</t>
  </si>
  <si>
    <t>👌...</t>
  </si>
  <si>
    <t>07/04/2018, 19:03:36</t>
  </si>
  <si>
    <t>👌</t>
  </si>
  <si>
    <t>17/04/2018, 03:40:24</t>
  </si>
  <si>
    <t>lovely photos</t>
  </si>
  <si>
    <t>17/04/2018, 14:28:53</t>
  </si>
  <si>
    <t>:)</t>
  </si>
  <si>
    <t>18/05/2018, 17:38:09</t>
  </si>
  <si>
    <t>Marvelous👍🏼</t>
  </si>
  <si>
    <t>08/06/2018, 22:06:40</t>
  </si>
  <si>
    <t>💙</t>
  </si>
  <si>
    <t>08/05/2018, 15:48:54</t>
  </si>
  <si>
    <t>😎</t>
  </si>
  <si>
    <t>03/05/2018, 21:26:21</t>
  </si>
  <si>
    <t>Hey! Do you know @africanhandmadeshoes? Look at their colorful profile and get lost! 🌲 🌺 ☀</t>
  </si>
  <si>
    <t>05/09/2016, 19:50:43</t>
  </si>
  <si>
    <t>⭐⭐⭐⭐⭐</t>
  </si>
  <si>
    <t>06/09/2016, 22:41:24</t>
  </si>
  <si>
    <t>01/09/2016, 15:05:11</t>
  </si>
  <si>
    <t>👏 👏 👏</t>
  </si>
  <si>
    <t>01/09/2016, 20:59:00</t>
  </si>
  <si>
    <t>Obrigada pela visita! 😘</t>
  </si>
  <si>
    <t>01/09/2016, 15:23:00</t>
  </si>
  <si>
    <t>Wow, you've got some great shots. Keep it up :)</t>
  </si>
  <si>
    <t>01/09/2016, 20:46:48</t>
  </si>
  <si>
    <t>✅Good🆒!!!!</t>
  </si>
  <si>
    <t>02/09/2016, 03:31:07</t>
  </si>
  <si>
    <t>Abriu hj para o público dia 02/09 até as 18:00 hj R$ 14,00 sábado e domingo R$24,00</t>
  </si>
  <si>
    <t>02/09/2016, 10:56:48</t>
  </si>
  <si>
    <t>@maedetresmaedegemeos legal, atualizamos aqui 😘😘</t>
  </si>
  <si>
    <t>02/09/2016, 11:08:01</t>
  </si>
  <si>
    <t>😘mais tarde estaremos por lá apreciando as belezas dessa festa 😍 vale a pena</t>
  </si>
  <si>
    <t>02/09/2016, 11:10:15</t>
  </si>
  <si>
    <t>😊😊</t>
  </si>
  <si>
    <t>03/09/2016, 07:50:04</t>
  </si>
  <si>
    <t>Lovely post</t>
  </si>
  <si>
    <t>03/09/2016, 13:21:12</t>
  </si>
  <si>
    <t>Em toda imagem existe algum tipo de arte, não acha?</t>
  </si>
  <si>
    <t>11/06/2018, 22:00:53</t>
  </si>
  <si>
    <t>Best of the day</t>
  </si>
  <si>
    <t>23/08/2016, 10:30:10</t>
  </si>
  <si>
    <t>Really nice!</t>
  </si>
  <si>
    <t>24/08/2016, 03:36:32</t>
  </si>
  <si>
    <t>👊</t>
  </si>
  <si>
    <t>22/08/2016, 10:21:30</t>
  </si>
  <si>
    <t>24/08/2016, 03:40:12</t>
  </si>
  <si>
    <t>24/08/2016, 18:28:55</t>
  </si>
  <si>
    <t>🙌🙌🙌</t>
  </si>
  <si>
    <t>26/08/2016, 05:34:06</t>
  </si>
  <si>
    <t>Curte aventuras? Segue a gente!!! ;-)</t>
  </si>
  <si>
    <t>26/08/2016, 10:13:02</t>
  </si>
  <si>
    <t>Olha aí @vadalicariao !!! Só esperando vcs..</t>
  </si>
  <si>
    <t>04/09/2016, 15:22:28</t>
  </si>
  <si>
    <t>👌✌</t>
  </si>
  <si>
    <t>28/08/2016, 12:49:49</t>
  </si>
  <si>
    <t>This is wonderful</t>
  </si>
  <si>
    <t>28/08/2016, 17:34:59</t>
  </si>
  <si>
    <t>Great page! &lt;3 &lt;3 &lt;3</t>
  </si>
  <si>
    <t>28/08/2016, 18:30:30</t>
  </si>
  <si>
    <t>Great post</t>
  </si>
  <si>
    <t>19/08/2016, 00:20:54</t>
  </si>
  <si>
    <t>✌️✌️</t>
  </si>
  <si>
    <t>26/08/2018, 18:02:10</t>
  </si>
  <si>
    <t>✨</t>
  </si>
  <si>
    <t>21/08/2016, 15:28:04</t>
  </si>
  <si>
    <t>Dope pic!</t>
  </si>
  <si>
    <t>01/10/2016, 06:28:06</t>
  </si>
  <si>
    <t>Ameiiiii</t>
  </si>
  <si>
    <t>20/08/2016, 22:41:20</t>
  </si>
  <si>
    <t>Si te interesa la movida gastronómica y descubrir nuevos sitios para comer, no dejes de seguir nuestra cuenta de Instagram!</t>
  </si>
  <si>
    <t>07/06/2018, 11:29:53</t>
  </si>
  <si>
    <t>30/08/2016, 18:49:58</t>
  </si>
  <si>
    <t>😀</t>
  </si>
  <si>
    <t>31/08/2016, 17:13:19</t>
  </si>
  <si>
    <t>03/09/2016, 14:20:06</t>
  </si>
  <si>
    <t>Parabéns a equipe em especial a jornalista Vanessa Barboza</t>
  </si>
  <si>
    <t>22/08/2016, 17:42:35</t>
  </si>
  <si>
    <t>@vieira2468</t>
  </si>
  <si>
    <t>19/09/2018, 15:25:19</t>
  </si>
  <si>
    <t>Sick!</t>
  </si>
  <si>
    <t>28/09/2016, 10:38:53</t>
  </si>
  <si>
    <t>3 x0 Brasil</t>
  </si>
  <si>
    <t>05/07/2018, 11:52:54</t>
  </si>
  <si>
    <t>Hummmm a gente também AMA sorvete! #mellatogellato</t>
  </si>
  <si>
    <t>16/09/2016, 21:03:52</t>
  </si>
  <si>
    <t>17/09/2016, 09:27:31</t>
  </si>
  <si>
    <t>19/09/2016, 16:51:05</t>
  </si>
  <si>
    <t>Essa imagem está muito bonita!</t>
  </si>
  <si>
    <t>16/09/2016, 17:34:31</t>
  </si>
  <si>
    <t>Nice image &lt;3</t>
  </si>
  <si>
    <t>16/09/2016, 18:11:17</t>
  </si>
  <si>
    <t>😃😃😃</t>
  </si>
  <si>
    <t>17/09/2016, 15:14:21</t>
  </si>
  <si>
    <t>Hummm!!! Que delicia!!</t>
  </si>
  <si>
    <t>15/06/2018, 17:52:09</t>
  </si>
  <si>
    <t>Amo😍</t>
  </si>
  <si>
    <t>08/09/2018, 02:22:26</t>
  </si>
  <si>
    <t>✅..</t>
  </si>
  <si>
    <t>18/06/2018, 05:41:41</t>
  </si>
  <si>
    <t>👏👏💥</t>
  </si>
  <si>
    <t>08/09/2016, 00:14:29</t>
  </si>
  <si>
    <t>☕</t>
  </si>
  <si>
    <t>08/09/2016, 00:27:12</t>
  </si>
  <si>
    <t>08/09/2016, 04:04:17</t>
  </si>
  <si>
    <t>🙏😎</t>
  </si>
  <si>
    <t>08/09/2016, 12:52:55</t>
  </si>
  <si>
    <t>Nice pic!</t>
  </si>
  <si>
    <t>05/12/2016, 19:28:12</t>
  </si>
  <si>
    <t>🙌🏼</t>
  </si>
  <si>
    <t>01/02/2017, 05:50:26</t>
  </si>
  <si>
    <t>Pretty cool</t>
  </si>
  <si>
    <t>08/09/2016, 12:49:08</t>
  </si>
  <si>
    <t>09/09/2016, 06:34:57</t>
  </si>
  <si>
    <t>2x1 Brasil</t>
  </si>
  <si>
    <t>27/06/2018, 10:11:46</t>
  </si>
  <si>
    <t>Too nice</t>
  </si>
  <si>
    <t>19/09/2016, 11:07:10</t>
  </si>
  <si>
    <t>😊😊👏👏👏...</t>
  </si>
  <si>
    <t>13/09/2016, 14:59:56</t>
  </si>
  <si>
    <t>🌍 Great Photo! 👏</t>
  </si>
  <si>
    <t>10/09/2016, 01:51:03</t>
  </si>
  <si>
    <t>Nice!</t>
  </si>
  <si>
    <t>21/09/2016, 07:53:58</t>
  </si>
  <si>
    <t>Always looking for new places to visit and experience 😊</t>
  </si>
  <si>
    <t>20/09/2016, 20:52:56</t>
  </si>
  <si>
    <t>😊</t>
  </si>
  <si>
    <t>24/09/2016, 06:02:02</t>
  </si>
  <si>
    <t>Linda foto! 😊 ...</t>
  </si>
  <si>
    <t>10/09/2016, 13:16:21</t>
  </si>
  <si>
    <t>Cuantas cosas en común tenemos 😉 He estado en el mismo sitio hace unos días. Disfrutar!</t>
  </si>
  <si>
    <t>11/09/2016, 03:33:39</t>
  </si>
  <si>
    <t>😃👏</t>
  </si>
  <si>
    <t>15/09/2016, 01:12:29</t>
  </si>
  <si>
    <t>11/09/2016, 12:21:52</t>
  </si>
  <si>
    <t>Nice! :)</t>
  </si>
  <si>
    <t>12/09/2016, 18:51:52</t>
  </si>
  <si>
    <t>The pic is really lovely!!</t>
  </si>
  <si>
    <t>20/06/2018, 16:12:10</t>
  </si>
  <si>
    <t>Great content!</t>
  </si>
  <si>
    <t>23/09/2016, 06:10:27</t>
  </si>
  <si>
    <t>Great</t>
  </si>
  <si>
    <t>14/09/2016, 03:21:01</t>
  </si>
  <si>
    <t>Quem deu o título? Parabéns Latam.</t>
  </si>
  <si>
    <t>03/07/2018, 23:08:36</t>
  </si>
  <si>
    <t>Sem comemorações por enquanto!</t>
  </si>
  <si>
    <t>24/06/2018, 10:26:02</t>
  </si>
  <si>
    <t>19/09/2016, 17:19:43</t>
  </si>
  <si>
    <t>👉#instagood....</t>
  </si>
  <si>
    <t>05/10/2016, 14:23:39</t>
  </si>
  <si>
    <t>Gente já abaixei no meu celular e no meu tablete,abaixe você também!!!!!</t>
  </si>
  <si>
    <t>30/09/2016, 17:56:40</t>
  </si>
  <si>
    <t>👏👏👏</t>
  </si>
  <si>
    <t>30/09/2016, 18:47:08</t>
  </si>
  <si>
    <t>Love this</t>
  </si>
  <si>
    <t>23/10/2016, 17:44:26</t>
  </si>
  <si>
    <t>Flawless</t>
  </si>
  <si>
    <t>24/10/2016, 10:45:51</t>
  </si>
  <si>
    <t>28/10/2016, 09:46:54</t>
  </si>
  <si>
    <t>👍👍👍</t>
  </si>
  <si>
    <t>28/10/2016, 09:45:16</t>
  </si>
  <si>
    <t>😃</t>
  </si>
  <si>
    <t>28/10/2016, 15:32:01</t>
  </si>
  <si>
    <t>✌</t>
  </si>
  <si>
    <t>10/07/2018, 22:31:47</t>
  </si>
  <si>
    <t>Boa viagem 🛫 na volta se precisar agende o seu táxi 🚕conosco e economize. Abraços</t>
  </si>
  <si>
    <t>05/10/2016, 17:24:36</t>
  </si>
  <si>
    <t>06/10/2016, 13:49:13</t>
  </si>
  <si>
    <t>05/10/2016, 19:41:02</t>
  </si>
  <si>
    <t>12/10/2016, 18:43:04</t>
  </si>
  <si>
    <t>Inspiring!</t>
  </si>
  <si>
    <t>17/10/2016, 16:00:16</t>
  </si>
  <si>
    <t>05/10/2016, 19:56:07</t>
  </si>
  <si>
    <t>😉😉😉</t>
  </si>
  <si>
    <t>12/10/2016, 18:37:57</t>
  </si>
  <si>
    <t>Great 😆</t>
  </si>
  <si>
    <t>17/10/2016, 15:56:26</t>
  </si>
  <si>
    <t>Aloha 🏄!!!!</t>
  </si>
  <si>
    <t>02/08/2018, 06:47:12</t>
  </si>
  <si>
    <t>🆒🆒🆒!!</t>
  </si>
  <si>
    <t>05/08/2018, 03:15:18</t>
  </si>
  <si>
    <t>Super !</t>
  </si>
  <si>
    <t>06/10/2016, 22:09:19</t>
  </si>
  <si>
    <t>07/10/2016, 16:25:25</t>
  </si>
  <si>
    <t>Sieht echt gut aus 👀</t>
  </si>
  <si>
    <t>10/10/2016, 21:43:44</t>
  </si>
  <si>
    <t>😄 😄 😄</t>
  </si>
  <si>
    <t>11/10/2016, 00:45:20</t>
  </si>
  <si>
    <t>😉😉 × 😉</t>
  </si>
  <si>
    <t>12/10/2016, 18:35:55</t>
  </si>
  <si>
    <t>Nothin' like travel!  Awesome pic! ☺</t>
  </si>
  <si>
    <t>13/10/2016, 07:20:14</t>
  </si>
  <si>
    <t>😊👍 !!!!!</t>
  </si>
  <si>
    <t>13/10/2016, 20:41:19</t>
  </si>
  <si>
    <t>15/10/2016, 17:32:57</t>
  </si>
  <si>
    <t>17/10/2016, 15:53:35</t>
  </si>
  <si>
    <t>Que bacana seu Instagram!! Parabéns</t>
  </si>
  <si>
    <t>18/10/2016, 15:18:05</t>
  </si>
  <si>
    <t>✌ Good Vibes</t>
  </si>
  <si>
    <t>19/10/2016, 12:16:29</t>
  </si>
  <si>
    <t>nice pic!</t>
  </si>
  <si>
    <t>18/07/2018, 14:47:09</t>
  </si>
  <si>
    <t>05/11/2016, 12:36:21</t>
  </si>
  <si>
    <t>Great capture!</t>
  </si>
  <si>
    <t>08/11/2016, 14:15:39</t>
  </si>
  <si>
    <t>Fantastic...!</t>
  </si>
  <si>
    <t>09/11/2016, 22:54:41</t>
  </si>
  <si>
    <t>🔝🔝🔝 #meumundoaroma ...</t>
  </si>
  <si>
    <t>01/11/2016, 22:59:28</t>
  </si>
  <si>
    <t>02/11/2016, 20:36:09</t>
  </si>
  <si>
    <t>Love your posts ☺</t>
  </si>
  <si>
    <t>03/11/2016, 09:08:18</t>
  </si>
  <si>
    <t>Well done!</t>
  </si>
  <si>
    <t>14/11/2016, 03:13:44</t>
  </si>
  <si>
    <t>18/11/2016, 12:45:56</t>
  </si>
  <si>
    <t>😍😍😍</t>
  </si>
  <si>
    <t>22/08/2018, 11:13:30</t>
  </si>
  <si>
    <t>22/08/2018, 11:53:24</t>
  </si>
  <si>
    <t>🎉</t>
  </si>
  <si>
    <t>04/09/2018, 03:42:13</t>
  </si>
  <si>
    <t>Looks great!</t>
  </si>
  <si>
    <t>17/11/2016, 23:06:36</t>
  </si>
  <si>
    <t>👍👍</t>
  </si>
  <si>
    <t>18/11/2016, 12:41:07</t>
  </si>
  <si>
    <t>19/11/2016, 00:09:54</t>
  </si>
  <si>
    <t>24/11/2016, 01:09:12</t>
  </si>
  <si>
    <t>24/11/2016, 17:20:17</t>
  </si>
  <si>
    <t>18/11/2016, 12:44:43</t>
  </si>
  <si>
    <t>👍👍😀..</t>
  </si>
  <si>
    <t>19/11/2016, 08:41:30</t>
  </si>
  <si>
    <t>15/12/2016, 12:04:44</t>
  </si>
  <si>
    <t>That's cool! 🙌🏻</t>
  </si>
  <si>
    <t>01/12/2016, 00:27:39</t>
  </si>
  <si>
    <t>🛩!!!</t>
  </si>
  <si>
    <t>20/09/2018, 15:03:48</t>
  </si>
  <si>
    <t>Awesome post 😉</t>
  </si>
  <si>
    <t>16/09/2018, 14:31:57</t>
  </si>
  <si>
    <t>☺☺☺</t>
  </si>
  <si>
    <t>04/12/2016, 00:45:42</t>
  </si>
  <si>
    <t>Show</t>
  </si>
  <si>
    <t>26/11/2016, 14:22:10</t>
  </si>
  <si>
    <t>25/11/2016, 08:27:01</t>
  </si>
  <si>
    <t>🎈</t>
  </si>
  <si>
    <t>26/11/2016, 19:02:27</t>
  </si>
  <si>
    <t>26/11/2016, 22:21:57</t>
  </si>
  <si>
    <t>28/11/2016, 11:33:54</t>
  </si>
  <si>
    <t>Shoewwww</t>
  </si>
  <si>
    <t>05/12/2016, 18:47:59</t>
  </si>
  <si>
    <t>Una Joya 💎</t>
  </si>
  <si>
    <t>06/12/2016, 12:09:19</t>
  </si>
  <si>
    <t>Wow!</t>
  </si>
  <si>
    <t>10/12/2016, 04:28:07</t>
  </si>
  <si>
    <t>Minha Belém :) Em breve vou embarcar...</t>
  </si>
  <si>
    <t>12/09/2018, 16:28:46</t>
  </si>
  <si>
    <t>@kcac19</t>
  </si>
  <si>
    <t>16/09/2018, 08:34:41</t>
  </si>
  <si>
    <t>16/09/2018, 14:22:09</t>
  </si>
  <si>
    <t>05/10/2018, 15:01:38</t>
  </si>
  <si>
    <t>Wonderful</t>
  </si>
  <si>
    <t>29/11/2016, 04:52:16</t>
  </si>
  <si>
    <t>😍😍</t>
  </si>
  <si>
    <t>04/01/2017, 17:41:49</t>
  </si>
  <si>
    <t>05/01/2017, 05:06:17</t>
  </si>
  <si>
    <t>Good shot!</t>
  </si>
  <si>
    <t>05/01/2017, 12:06:45</t>
  </si>
  <si>
    <t>Magnificent 😃</t>
  </si>
  <si>
    <t>05/01/2017, 15:07:04</t>
  </si>
  <si>
    <t>👍👍👍👍</t>
  </si>
  <si>
    <t>06/01/2017, 08:53:51</t>
  </si>
  <si>
    <t>Wow! #greatshot 👍👍👍We offer private concierge services, travel management and flights, please follow if interested! Or check out our website www.royalpremiergroup.com thanks!!</t>
  </si>
  <si>
    <t>07/01/2017, 01:59:37</t>
  </si>
  <si>
    <t>10/01/2017, 15:04:24</t>
  </si>
  <si>
    <t>great shot</t>
  </si>
  <si>
    <t>05/10/2018, 14:53:20</t>
  </si>
  <si>
    <t>17/12/2016, 20:00:18</t>
  </si>
  <si>
    <t>Keep doing your thing 👊🏽 You're a true visionary 🙌🏽</t>
  </si>
  <si>
    <t>19/12/2016, 11:50:27</t>
  </si>
  <si>
    <t>Que massa! ✌ .</t>
  </si>
  <si>
    <t>27/12/2016, 22:03:57</t>
  </si>
  <si>
    <t>Entre no nosso Ig e fique por dentro das promoções :))</t>
  </si>
  <si>
    <t>28/12/2016, 19:33:14</t>
  </si>
  <si>
    <t>29/12/2016, 18:44:26</t>
  </si>
  <si>
    <t>Awesome :)</t>
  </si>
  <si>
    <t>20/12/2016, 14:15:57</t>
  </si>
  <si>
    <t>😀😀</t>
  </si>
  <si>
    <t>21/12/2016, 10:58:10</t>
  </si>
  <si>
    <t>💚</t>
  </si>
  <si>
    <t>22/12/2016, 16:42:41</t>
  </si>
  <si>
    <t>This is great! We love your page.</t>
  </si>
  <si>
    <t>21/12/2016, 18:04:58</t>
  </si>
  <si>
    <t>Amazing Profile :D</t>
  </si>
  <si>
    <t>01/01/2017, 09:06:21</t>
  </si>
  <si>
    <t>😄😄</t>
  </si>
  <si>
    <t>02/01/2017, 19:57:24</t>
  </si>
  <si>
    <t>Amazing!</t>
  </si>
  <si>
    <t>08/01/2017, 17:28:25</t>
  </si>
  <si>
    <t>Bah, mega importante!!!! 👏🏻👏🏻👏🏻</t>
  </si>
  <si>
    <t>10/11/2018, 01:19:49</t>
  </si>
  <si>
    <t>Não adianta a gente se preocupar e embalar a mala, enquanto os funcionários das empresas aéreas jogam de todo jeito e quebram nossas malas. E se for reclamar a burocracia é tão grande que perdemos até a viagem esperando rsrs.</t>
  </si>
  <si>
    <t>09/12/2018, 09:12:28</t>
  </si>
  <si>
    <t>01/02/2017, 02:46:57</t>
  </si>
  <si>
    <t>Es genial ☺</t>
  </si>
  <si>
    <t>19/01/2017, 02:52:43</t>
  </si>
  <si>
    <t>👍 👍</t>
  </si>
  <si>
    <t>21/01/2017, 20:21:05</t>
  </si>
  <si>
    <t>great one! 😍</t>
  </si>
  <si>
    <t>11/01/2017, 17:06:15</t>
  </si>
  <si>
    <t>12/01/2017, 06:00:23</t>
  </si>
  <si>
    <t>Awesome!</t>
  </si>
  <si>
    <t>12/01/2017, 19:46:04</t>
  </si>
  <si>
    <t>Esperamos sua visita para comer,beber e se divertir nos melhores food trucks de Florianópolis 😄</t>
  </si>
  <si>
    <t>14/01/2017, 08:00:50</t>
  </si>
  <si>
    <t>👏 🍷 😄</t>
  </si>
  <si>
    <t>13/01/2017, 21:01:14</t>
  </si>
  <si>
    <t>Love your page!</t>
  </si>
  <si>
    <t>14/01/2017, 23:54:08</t>
  </si>
  <si>
    <t>16/01/2017, 19:22:55</t>
  </si>
  <si>
    <t>Buenos Aires é linda 😉</t>
  </si>
  <si>
    <t>30/01/2017, 08:57:15</t>
  </si>
  <si>
    <t>🌎 Can you guess the last country I've been to?</t>
  </si>
  <si>
    <t>29/01/2017, 07:59:06</t>
  </si>
  <si>
    <t>Super!</t>
  </si>
  <si>
    <t>29/01/2017, 17:06:55</t>
  </si>
  <si>
    <t>I like the atmosphere</t>
  </si>
  <si>
    <t>26/01/2017, 13:05:15</t>
  </si>
  <si>
    <t>26/01/2017, 19:07:32</t>
  </si>
  <si>
    <t>29/01/2017, 07:50:40</t>
  </si>
  <si>
    <t>29/01/2017, 20:18:55</t>
  </si>
  <si>
    <t>Meu desafio, conseguir passar perto de um cassino e nao jogar Poker 😂😂😉</t>
  </si>
  <si>
    <t>30/01/2017, 08:58:08</t>
  </si>
  <si>
    <t>✅I love this photo✌!!!!</t>
  </si>
  <si>
    <t>24/02/2017, 21:44:34</t>
  </si>
  <si>
    <t>😃✌!</t>
  </si>
  <si>
    <t>24/02/2017, 18:52:38</t>
  </si>
  <si>
    <t>me encantó</t>
  </si>
  <si>
    <t>27/02/2017, 11:17:20</t>
  </si>
  <si>
    <t>👏👏👏👏</t>
  </si>
  <si>
    <t>24/02/2017, 19:04:20</t>
  </si>
  <si>
    <t>Muito legal 😄</t>
  </si>
  <si>
    <t>27/02/2017, 13:47:30</t>
  </si>
  <si>
    <t>Top!</t>
  </si>
  <si>
    <t>27/02/2017, 16:28:08</t>
  </si>
  <si>
    <t>✅.</t>
  </si>
  <si>
    <t>06/03/2017, 01:10:53</t>
  </si>
  <si>
    <t>Great photo, what phone/camera are you using? 😆😆😆</t>
  </si>
  <si>
    <t>06/02/2017, 07:47:16</t>
  </si>
  <si>
    <t>👏👏👏 really cool</t>
  </si>
  <si>
    <t>06/02/2017, 19:44:55</t>
  </si>
  <si>
    <t>love that!</t>
  </si>
  <si>
    <t>10/02/2017, 06:10:33</t>
  </si>
  <si>
    <t>11/02/2017, 02:19:33</t>
  </si>
  <si>
    <t>Great photo!</t>
  </si>
  <si>
    <t>15/02/2017, 02:25:23</t>
  </si>
  <si>
    <t>😊✌ !</t>
  </si>
  <si>
    <t>15/02/2017, 23:09:37</t>
  </si>
  <si>
    <t>keep exploring!</t>
  </si>
  <si>
    <t>18/02/2017, 11:08:14</t>
  </si>
  <si>
    <t>20/02/2017, 16:39:03</t>
  </si>
  <si>
    <t>Yes cool photo wahouuuu</t>
  </si>
  <si>
    <t>26/11/2018, 14:41:12</t>
  </si>
  <si>
    <t>Demais! 😍</t>
  </si>
  <si>
    <t>20/02/2017, 23:51:45</t>
  </si>
  <si>
    <t>😄👍</t>
  </si>
  <si>
    <t>21/02/2017, 00:29:06</t>
  </si>
  <si>
    <t>Fab!</t>
  </si>
  <si>
    <t>22/02/2017, 20:24:02</t>
  </si>
  <si>
    <t>Linda foto 🙌</t>
  </si>
  <si>
    <t>22/02/2017, 20:52:45</t>
  </si>
  <si>
    <t>Terrific</t>
  </si>
  <si>
    <t>20/03/2017, 17:55:48</t>
  </si>
  <si>
    <t>Wow like it!</t>
  </si>
  <si>
    <t>20/03/2017, 20:55:05</t>
  </si>
  <si>
    <t>22/03/2017, 17:00:09</t>
  </si>
  <si>
    <t>😌 😌 😌</t>
  </si>
  <si>
    <t>22/03/2017, 23:14:25</t>
  </si>
  <si>
    <t>⭐</t>
  </si>
  <si>
    <t>02/03/2017, 08:32:48</t>
  </si>
  <si>
    <t>quando abriu essa loja</t>
  </si>
  <si>
    <t>22/07/2025, 13:21:52</t>
  </si>
  <si>
    <t>🥂</t>
  </si>
  <si>
    <t>17/03/2017, 17:11:57</t>
  </si>
  <si>
    <t>Super sweet</t>
  </si>
  <si>
    <t>17/03/2017, 18:30:32</t>
  </si>
  <si>
    <t>🚁👍</t>
  </si>
  <si>
    <t>18/03/2017, 17:49:09</t>
  </si>
  <si>
    <t>😉 😉 😉</t>
  </si>
  <si>
    <t>09/03/2017, 22:10:03</t>
  </si>
  <si>
    <t>Great photos! 😆☺</t>
  </si>
  <si>
    <t>10/03/2017, 02:47:03</t>
  </si>
  <si>
    <t>👍👍👍🔝..</t>
  </si>
  <si>
    <t>29/03/2017, 14:26:23</t>
  </si>
  <si>
    <t>Yes</t>
  </si>
  <si>
    <t>25/03/2017, 02:44:59</t>
  </si>
  <si>
    <t>🏄👏👏</t>
  </si>
  <si>
    <t>25/03/2017, 13:08:00</t>
  </si>
  <si>
    <t>#foodie4thought 😁</t>
  </si>
  <si>
    <t>27/03/2017, 07:23:48</t>
  </si>
  <si>
    <t>📷 ⭐</t>
  </si>
  <si>
    <t>05/04/2017, 01:56:51</t>
  </si>
  <si>
    <t>Great pictures!</t>
  </si>
  <si>
    <t>06/04/2017, 06:25:19</t>
  </si>
  <si>
    <t>09/04/2017, 22:36:45</t>
  </si>
  <si>
    <t>💚💚</t>
  </si>
  <si>
    <t>28/03/2017, 13:38:57</t>
  </si>
  <si>
    <t>🙏🙏</t>
  </si>
  <si>
    <t>30/03/2017, 11:28:48</t>
  </si>
  <si>
    <t>31/03/2017, 01:09:07</t>
  </si>
  <si>
    <t>☺ ☺ ☺</t>
  </si>
  <si>
    <t>01/04/2017, 07:47:38</t>
  </si>
  <si>
    <t>Awesome</t>
  </si>
  <si>
    <t>02/04/2017, 00:16:19</t>
  </si>
  <si>
    <t>👍 👍 👍</t>
  </si>
  <si>
    <t>03/04/2017, 21:16:20</t>
  </si>
  <si>
    <t>Muito bom de ver 💚</t>
  </si>
  <si>
    <t>08/01/2019, 03:52:57</t>
  </si>
  <si>
    <t>Tienes buen contenido.</t>
  </si>
  <si>
    <t>16/04/2017, 20:18:34</t>
  </si>
  <si>
    <t>❤️👏</t>
  </si>
  <si>
    <t>11/04/2017, 17:19:19</t>
  </si>
  <si>
    <t>👏❤</t>
  </si>
  <si>
    <t>11/04/2017, 19:52:35</t>
  </si>
  <si>
    <t>Qué padre foto!</t>
  </si>
  <si>
    <t>16/04/2017, 20:23:10</t>
  </si>
  <si>
    <t>That's just really nice! 😄</t>
  </si>
  <si>
    <t>12/04/2017, 22:22:05</t>
  </si>
  <si>
    <t>15/04/2017, 02:44:33</t>
  </si>
  <si>
    <t>☺ ☺</t>
  </si>
  <si>
    <t>16/04/2017, 17:28:47</t>
  </si>
  <si>
    <t>Buena foto!</t>
  </si>
  <si>
    <t>16/04/2017, 20:12:43</t>
  </si>
  <si>
    <t>😉 😉</t>
  </si>
  <si>
    <t>18/04/2017, 08:27:47</t>
  </si>
  <si>
    <t>Nice photo!</t>
  </si>
  <si>
    <t>08/05/2017, 20:08:11</t>
  </si>
  <si>
    <t>Olá ! Estou iniciando meu novo projeto pessoal aqui no Instagram. Se puder seguir minha página ajudaria muito. Pelo visto, temos a mesma paixão em comum: viagens e conhecer novas culturas 🌍❤️</t>
  </si>
  <si>
    <t>15/02/2019, 18:09:12</t>
  </si>
  <si>
    <t>Awesome page 👌</t>
  </si>
  <si>
    <t>19/04/2017, 14:49:39</t>
  </si>
  <si>
    <t>Cooles Pic 😎</t>
  </si>
  <si>
    <t>19/04/2017, 02:08:50</t>
  </si>
  <si>
    <t>20/04/2017, 03:24:06</t>
  </si>
  <si>
    <t>23/04/2017, 00:26:40</t>
  </si>
  <si>
    <t>🌸</t>
  </si>
  <si>
    <t>28/04/2017, 05:45:57</t>
  </si>
  <si>
    <t>22/04/2017, 14:35:54</t>
  </si>
  <si>
    <t>23/04/2017, 19:26:55</t>
  </si>
  <si>
    <t>👌🏻</t>
  </si>
  <si>
    <t>02/05/2017, 17:25:38</t>
  </si>
  <si>
    <t>03/05/2017, 12:46:11</t>
  </si>
  <si>
    <t>03/05/2017, 19:56:21</t>
  </si>
  <si>
    <t>06/05/2017, 08:24:25</t>
  </si>
  <si>
    <t>cool!</t>
  </si>
  <si>
    <t>06/05/2017, 11:12:36</t>
  </si>
  <si>
    <t>Good flight? Score and share your experience on our new travel app! #fllike</t>
  </si>
  <si>
    <t>06/05/2017, 12:32:19</t>
  </si>
  <si>
    <t>👏💕</t>
  </si>
  <si>
    <t>24/03/2019, 18:22:44</t>
  </si>
  <si>
    <t>O</t>
  </si>
  <si>
    <t>23/02/2019, 05:55:41</t>
  </si>
  <si>
    <t>19/05/2017, 13:03:46</t>
  </si>
  <si>
    <t>#airportlicious :🛫 )</t>
  </si>
  <si>
    <t>29/05/2017, 18:10:51</t>
  </si>
  <si>
    <t>31/05/2017, 09:11:46</t>
  </si>
  <si>
    <t>Dufry shopping é a marca que fica no embarque doméstico. Não é duty free.</t>
  </si>
  <si>
    <t>01/06/2017, 19:16:38</t>
  </si>
  <si>
    <t>😃😃✌!!</t>
  </si>
  <si>
    <t>03/06/2017, 12:14:15</t>
  </si>
  <si>
    <t>😊😊😊✌!!!</t>
  </si>
  <si>
    <t>06/06/2017, 06:32:17</t>
  </si>
  <si>
    <t>@aedetails</t>
  </si>
  <si>
    <t>30/06/2017, 05:25:05</t>
  </si>
  <si>
    <t>@gian_ck isso é taooooo...</t>
  </si>
  <si>
    <t>06/06/2017, 19:36:28</t>
  </si>
  <si>
    <t>08/06/2017, 17:41:02</t>
  </si>
  <si>
    <t>🤤🤤🤤❤️</t>
  </si>
  <si>
    <t>31/03/2019, 11:06:35</t>
  </si>
  <si>
    <t>@revistaembarque Tudo feito com muito carinho! 😍</t>
  </si>
  <si>
    <t>09/06/2017, 16:48:33</t>
  </si>
  <si>
    <t>Adorei! Campanha super legal!</t>
  </si>
  <si>
    <t>09/06/2017, 17:39:15</t>
  </si>
  <si>
    <t>Que muito ❤️❤️❤️</t>
  </si>
  <si>
    <t>09/06/2017, 21:19:25</t>
  </si>
  <si>
    <t>boa inciativa</t>
  </si>
  <si>
    <t>28/03/2019, 12:58:06</t>
  </si>
  <si>
    <t>☺🌸</t>
  </si>
  <si>
    <t>28/03/2019, 10:04:55</t>
  </si>
  <si>
    <t>Amazing absolutely</t>
  </si>
  <si>
    <t>31/03/2019, 21:51:34</t>
  </si>
  <si>
    <t>25/06/2017, 10:29:05</t>
  </si>
  <si>
    <t>🙌🏻!!!!</t>
  </si>
  <si>
    <t>28/06/2017, 20:36:47</t>
  </si>
  <si>
    <t>Check out my instagram and get great deals✌</t>
  </si>
  <si>
    <t>26/06/2017, 09:54:34</t>
  </si>
  <si>
    <t>26/06/2017, 12:43:10</t>
  </si>
  <si>
    <t>revistaembarque - Revista, Ganhe seguidores em www.igseguidores .com (13/06 23:11) #A3eZvnzxrs</t>
  </si>
  <si>
    <t>13/06/2017, 23:11:01</t>
  </si>
  <si>
    <t>🙌🏻....</t>
  </si>
  <si>
    <t>27/06/2017, 16:06:18</t>
  </si>
  <si>
    <t>Esse chocolate aquece até a alma, não é @revistaembarque ? ☺️🍦</t>
  </si>
  <si>
    <t>04/07/2017, 15:48:47</t>
  </si>
  <si>
    <t>😎😎 !!</t>
  </si>
  <si>
    <t>28/06/2017, 17:32:52</t>
  </si>
  <si>
    <t>👍👍🔝..</t>
  </si>
  <si>
    <t>25/07/2017, 02:55:25</t>
  </si>
  <si>
    <t>Check our instagram, I think you 'll love what we got 😉</t>
  </si>
  <si>
    <t>12/07/2017, 16:36:38</t>
  </si>
  <si>
    <t>Take a look at my profile and enjoy great things in life on a limited budget ;)</t>
  </si>
  <si>
    <t>13/07/2017, 03:56:12</t>
  </si>
  <si>
    <t>👌🏼</t>
  </si>
  <si>
    <t>19/07/2017, 08:14:45</t>
  </si>
  <si>
    <t>🔝🔝...</t>
  </si>
  <si>
    <t>20/07/2017, 17:01:51</t>
  </si>
  <si>
    <t>13/04/2019, 17:49:07</t>
  </si>
  <si>
    <t>👏🏼👏🏼</t>
  </si>
  <si>
    <t>24/04/2019, 17:01:30</t>
  </si>
  <si>
    <t>❤️</t>
  </si>
  <si>
    <t>24/04/2019, 21:49:37</t>
  </si>
  <si>
    <t>24/04/2019, 20:51:38</t>
  </si>
  <si>
    <t>Obrigada pela matéria, beijocas de Floripa!</t>
  </si>
  <si>
    <t>24/04/2019, 17:56:16</t>
  </si>
  <si>
    <t>Maravilhosa 💙</t>
  </si>
  <si>
    <t>24/04/2019, 19:42:43</t>
  </si>
  <si>
    <t>Hahaha que fofura!! ❤️</t>
  </si>
  <si>
    <t>24/04/2019, 22:18:30</t>
  </si>
  <si>
    <t>Que mona👏👏👏👌</t>
  </si>
  <si>
    <t>23/07/2019, 07:58:42</t>
  </si>
  <si>
    <t>@gracebarnechea22</t>
  </si>
  <si>
    <t>27/04/2019, 16:13:59</t>
  </si>
  <si>
    <t>(((🐲)))</t>
  </si>
  <si>
    <t>19/07/2017, 04:45:21</t>
  </si>
  <si>
    <t>🙌🙌..</t>
  </si>
  <si>
    <t>19/07/2017, 07:27:34</t>
  </si>
  <si>
    <t>😄</t>
  </si>
  <si>
    <t>22/07/2017, 02:10:12</t>
  </si>
  <si>
    <t>29/07/2017, 00:28:26</t>
  </si>
  <si>
    <t>29/07/2017, 17:36:21</t>
  </si>
  <si>
    <t>Love this shots :) 👌</t>
  </si>
  <si>
    <t>09/08/2017, 09:55:28</t>
  </si>
  <si>
    <t>Great Feed</t>
  </si>
  <si>
    <t>01/08/2017, 04:38:38</t>
  </si>
  <si>
    <t>🙌....</t>
  </si>
  <si>
    <t>02/08/2017, 12:17:09</t>
  </si>
  <si>
    <t>06/08/2017, 20:38:20</t>
  </si>
  <si>
    <t>19/05/2019, 13:35:30</t>
  </si>
  <si>
    <t>04/09/2017, 22:06:03</t>
  </si>
  <si>
    <t>👏👏👏!</t>
  </si>
  <si>
    <t>10/09/2017, 17:36:36</t>
  </si>
  <si>
    <t>Lindo, profundo e inclusivo!Simplesmente Amor!</t>
  </si>
  <si>
    <t>13/06/2019, 10:04:56</t>
  </si>
  <si>
    <t>Bora tomar quentão !</t>
  </si>
  <si>
    <t>13/06/2019, 10:05:29</t>
  </si>
  <si>
    <t>🔝!!</t>
  </si>
  <si>
    <t>09/09/2017, 09:22:45</t>
  </si>
  <si>
    <t>Great shot!</t>
  </si>
  <si>
    <t>28/08/2017, 19:57:51</t>
  </si>
  <si>
    <t>Take a look at our instagram for great coupons.</t>
  </si>
  <si>
    <t>28/08/2017, 20:45:01</t>
  </si>
  <si>
    <t>👍😀.</t>
  </si>
  <si>
    <t>31/08/2017, 09:03:41</t>
  </si>
  <si>
    <t>21/06/2019, 17:40:37</t>
  </si>
  <si>
    <t>great acc!</t>
  </si>
  <si>
    <t>15/09/2017, 21:36:20</t>
  </si>
  <si>
    <t>16/09/2017, 12:54:45</t>
  </si>
  <si>
    <t>Keep on traveling 👍 @adventuretravels</t>
  </si>
  <si>
    <t>18/09/2017, 05:07:05</t>
  </si>
  <si>
    <t>Amo este lugar❤️</t>
  </si>
  <si>
    <t>12/07/2019, 17:53:29</t>
  </si>
  <si>
    <t>👏!!!!</t>
  </si>
  <si>
    <t>15/10/2017, 18:26:06</t>
  </si>
  <si>
    <t>💥💥💥</t>
  </si>
  <si>
    <t>06/10/2017, 14:21:43</t>
  </si>
  <si>
    <t>06/10/2017, 20:19:33</t>
  </si>
  <si>
    <t>09/10/2017, 19:01:39</t>
  </si>
  <si>
    <t>💅🏻💅🏻💅🏻</t>
  </si>
  <si>
    <t>24/06/2019, 11:02:11</t>
  </si>
  <si>
    <t>Brasil na kbca</t>
  </si>
  <si>
    <t>05/07/2019, 21:03:10</t>
  </si>
  <si>
    <t>03/10/2017, 19:28:19</t>
  </si>
  <si>
    <t>04/10/2017, 12:23:16</t>
  </si>
  <si>
    <t>O que adianta promoções se não cuidam bem da sua bagagem!!!! Voar Latam ?!? Não mais .....</t>
  </si>
  <si>
    <t>30/06/2019, 16:21:05</t>
  </si>
  <si>
    <t>Spectacular Image!</t>
  </si>
  <si>
    <t>24/09/2017, 01:25:49</t>
  </si>
  <si>
    <t>Adorei</t>
  </si>
  <si>
    <t>23/04/2020, 13:05:31</t>
  </si>
  <si>
    <t>⠀
#revistaembarque #ficaemcasa #covid19 #coronavirus #rotacoronavirus</t>
  </si>
  <si>
    <t>30/04/2020, 21:46:58</t>
  </si>
  <si>
    <t>😢😢😢😢😢</t>
  </si>
  <si>
    <t>09/08/2024, 19:43:34</t>
  </si>
  <si>
    <t>😢</t>
  </si>
  <si>
    <t>09/08/2024, 22:57:07</t>
  </si>
  <si>
    <t>😢😢</t>
  </si>
  <si>
    <t>10/08/2024, 13:49:50</t>
  </si>
  <si>
    <t>14/01/2024, 16:24:50</t>
  </si>
  <si>
    <t>Que lindaaaa ❤️ Feliz Ano Novo para equipe ❤️</t>
  </si>
  <si>
    <t>11/01/2024, 07:13:57</t>
  </si>
  <si>
    <t>✈️✈️✈️</t>
  </si>
  <si>
    <t>12/01/2024, 20:03:23</t>
  </si>
  <si>
    <t>O piloto comandante da aeronave não irá permitir q um leigo supervisione o serviço dele no cock pit. Ou cabine de comando.</t>
  </si>
  <si>
    <t>17/02/2024, 14:23:23</t>
  </si>
  <si>
    <t>Sequer IATA  e outros órgãos internacionais o irão permitir. Poderá ser  posto.  Serviços de pilotagem e comissário  de bordô estarão fora  desta.</t>
  </si>
  <si>
    <t>17/02/2024, 14:28:01</t>
  </si>
  <si>
    <t>👏👏🙌🙌</t>
  </si>
  <si>
    <t>12/05/2024, 20:30:53</t>
  </si>
  <si>
    <t>12/05/2024, 22:04:36</t>
  </si>
  <si>
    <t>😢😢😢😢</t>
  </si>
  <si>
    <t>14/05/2024, 18:25:30</t>
  </si>
  <si>
    <t>Que Deus tenha piedade e ampare a todos principalmente os mais atingidos por essa tragédia 🙌</t>
  </si>
  <si>
    <t>04/05/2024, 13:04:12</t>
  </si>
  <si>
    <t>Triste demais 😢😢</t>
  </si>
  <si>
    <t>04/05/2024, 20:18:32</t>
  </si>
  <si>
    <t>Que a morte desse bichinho não fique em vão!!!😢</t>
  </si>
  <si>
    <t>24/04/2024, 17:45:08</t>
  </si>
  <si>
    <t>Se é Bolsonaro manda arrancar o couro do cachorro  para fazer tapete. E ainda diz: E aí?  Não sou veterinário.</t>
  </si>
  <si>
    <t>24/04/2024, 19:39:51</t>
  </si>
  <si>
    <t>Precisamos de leis sérias sobre transporte de pets! Pagamos caro e não temos segurança nem dignidade! A cia aérea que fizer voos pet friendly vai ficar milionária! Não é possível que não tenham visão 😢</t>
  </si>
  <si>
    <t>24/04/2024, 21:19:43</t>
  </si>
  <si>
    <t>04/05/2024, 21:49:38</t>
  </si>
  <si>
    <t>Que emoção ver pessoas de bom coração ajudando nossos filhos de quatro patas 🐾! Força Rio Grande do Sul! Estamos com vocês! Eu ajudei nas cozinhas solidárias do MTST e MST, que fazem um trabalho lindo 😍de amor ao próximo</t>
  </si>
  <si>
    <t>07/05/2024, 18:51:00</t>
  </si>
  <si>
    <t>Que emoção ate um pit bull bravo, pedindo ajuda.
😭😭😭 Deus abençoe os socorristas🙏🏻🙏🏻</t>
  </si>
  <si>
    <t>09/05/2024, 15:43:54</t>
  </si>
  <si>
    <t>09/05/2024, 17:24:42</t>
  </si>
  <si>
    <t>Agradeço a divulgação do meu trabalho ❤️</t>
  </si>
  <si>
    <t>10/06/2024, 22:45:08</t>
  </si>
  <si>
    <t>Parabéns 👏🏿</t>
  </si>
  <si>
    <t>10/06/2024, 23:34:28</t>
  </si>
  <si>
    <t>Inspiração lindo 😍</t>
  </si>
  <si>
    <t>26/07/2024, 21:47:31</t>
  </si>
  <si>
    <t>Parabéns a todos os súditos de Elen Chourch.</t>
  </si>
  <si>
    <t>31/05/2020, 14:26:40</t>
  </si>
  <si>
    <t>https://pt.wikipedia.org/wiki/Ellen_Church</t>
  </si>
  <si>
    <t>31/05/2020, 14:27:51</t>
  </si>
  <si>
    <t>Promote it on @vevomusic.usa 💯</t>
  </si>
  <si>
    <t>18/02/2022, 18:48:05</t>
  </si>
  <si>
    <t>⠀
#familia #aviacao #aviation #covid19 #aviacaoexecutiva #executiveaviation #linhaaerea #ciaaerea #airline #aviacaogeral #aviacaoagricola #live #youtube #safetuforfree #flysafe #flightsafety #formacao #instrucao #tripulacao #piloto #anac #faa #easa #aovivo #fiqueemcasa</t>
  </si>
  <si>
    <t>15/05/2020, 23:59:42</t>
  </si>
  <si>
    <t>🌷🌷🌷🌷🌻🌻🌷</t>
  </si>
  <si>
    <t>16/05/2020, 21:59:18</t>
  </si>
  <si>
    <t>⠀
#saudemental #dicadeouro #educação #linkedin</t>
  </si>
  <si>
    <t>15/05/2020, 22:58:08</t>
  </si>
  <si>
    <t>Queridos 
Muito obrigado!!❤️❤️</t>
  </si>
  <si>
    <t>26/06/2020, 22:31:02</t>
  </si>
  <si>
    <t>💯💯</t>
  </si>
  <si>
    <t>26/06/2020, 22:59:00</t>
  </si>
  <si>
    <t>stunning shot 🤗</t>
  </si>
  <si>
    <t>26/06/2020, 17:37:49</t>
  </si>
  <si>
    <t>Muito bacana!!! Parabéns LATAN!!! Atitude como essa, como brasileiros nos sentimos muito orgulhosos.</t>
  </si>
  <si>
    <t>04/04/2022, 21:05:55</t>
  </si>
  <si>
    <t>21/06/2020, 14:07:56</t>
  </si>
  <si>
    <t>Linda</t>
  </si>
  <si>
    <t>25/03/2022, 11:09:13</t>
  </si>
  <si>
    <t>Amazing 😍 check out &amp; sub my YouTube cooking Channel 👨‍🍳</t>
  </si>
  <si>
    <t>12/06/2020, 18:52:41</t>
  </si>
  <si>
    <t>Amazing post!!</t>
  </si>
  <si>
    <t>12/06/2020, 18:17:47</t>
  </si>
  <si>
    <t>Que notícia boa!!!!</t>
  </si>
  <si>
    <t>12/06/2020, 17:55:21</t>
  </si>
  <si>
    <t>@arthurtorreao 😍</t>
  </si>
  <si>
    <t>10/07/2020, 19:18:56</t>
  </si>
  <si>
    <t>11/07/2020, 16:20:51</t>
  </si>
  <si>
    <t>10/04/2022, 00:49:40</t>
  </si>
  <si>
    <t>⠀
#viagem #travel #turismo #viajar #trip #brasil #ferias #praia #natureza #amoviajar #instatravel #viagens #viajarfazbem #photography #brazil #nature #viagemeturismo #love #fotografia #cruzeiro #travelgram #instagood #aventura #sol #bhfyp #fiqueemcasa #quarentena</t>
  </si>
  <si>
    <t>03/07/2020, 19:30:53</t>
  </si>
  <si>
    <t>@revistaembarque ✈❤</t>
  </si>
  <si>
    <t>06/07/2020, 18:46:28</t>
  </si>
  <si>
    <t>Insane interior👌💪😊🔝👍Hope you can find some time to check out my page; thanks</t>
  </si>
  <si>
    <t>18/07/2020, 13:34:11</t>
  </si>
  <si>
    <t>04/08/2020, 13:14:29</t>
  </si>
  <si>
    <t>Adorei está live❤️</t>
  </si>
  <si>
    <t>05/08/2020, 21:59:12</t>
  </si>
  <si>
    <t>Adorei a fica  dos livros</t>
  </si>
  <si>
    <t>05/08/2020, 21:59:38</t>
  </si>
  <si>
    <t>Agradecemos</t>
  </si>
  <si>
    <t>08/08/2020, 10:49:19</t>
  </si>
  <si>
    <t>08/08/2020, 10:49:22</t>
  </si>
  <si>
    <t>@cristina_reboucas18 Que legal, ficamos contentes!</t>
  </si>
  <si>
    <t>09/08/2020, 22:30:54</t>
  </si>
  <si>
    <t>Vamos realizar mais! Ficamos felizes que vc gostou!</t>
  </si>
  <si>
    <t>09/08/2020, 22:31:23</t>
  </si>
  <si>
    <t>Melhor que a Emirates? 🤔🤔</t>
  </si>
  <si>
    <t>28/07/2020, 23:08:27</t>
  </si>
  <si>
    <t>Obrigada pelo carinho, beijocas de Floripa!</t>
  </si>
  <si>
    <t>08/08/2020, 10:31:57</t>
  </si>
  <si>
    <t>Maravilhosa, a senhora é um exemplo pra todos nós!</t>
  </si>
  <si>
    <t>09/08/2020, 14:28:36</t>
  </si>
  <si>
    <t>Promote it on 👉@travel.nirvana_</t>
  </si>
  <si>
    <t>19/05/2022, 21:54:36</t>
  </si>
  <si>
    <t>Love it DM ❤️ @paris_mania_</t>
  </si>
  <si>
    <t>20/05/2022, 00:50:03</t>
  </si>
  <si>
    <t>😍🕺🏻🎉💙</t>
  </si>
  <si>
    <t>13/08/2020, 12:52:11</t>
  </si>
  <si>
    <t>19/08/2020, 00:05:55</t>
  </si>
  <si>
    <t>&lt;3</t>
  </si>
  <si>
    <t>19/08/2020, 22:56:14</t>
  </si>
  <si>
    <t>13/10/2022, 14:54:31</t>
  </si>
  <si>
    <t>👏👏👏👏👏</t>
  </si>
  <si>
    <t>10/06/2022, 20:39:32</t>
  </si>
  <si>
    <t>Hi 👋🏻 , we just reached out to you. Please check your DM. Thanks 🤙</t>
  </si>
  <si>
    <t>18/06/2022, 17:20:35</t>
  </si>
  <si>
    <t>Viva a vida!</t>
  </si>
  <si>
    <t>05/09/2020, 12:05:51</t>
  </si>
  <si>
    <t>Viva!</t>
  </si>
  <si>
    <t>05/09/2020, 14:20:58</t>
  </si>
  <si>
    <t>Puxa vida ! O agressor tem que ficar uns dias preso !</t>
  </si>
  <si>
    <t>03/06/2022, 17:30:30</t>
  </si>
  <si>
    <t>@revistaembarque 💙✈😃</t>
  </si>
  <si>
    <t>18/09/2020, 18:14:40</t>
  </si>
  <si>
    <t>Eu amei😍 me chama no direct?</t>
  </si>
  <si>
    <t>18/09/2020, 22:13:43</t>
  </si>
  <si>
    <t>17/10/2020, 10:11:46</t>
  </si>
  <si>
    <t>⠀
#embarqueseguro #transformaçãodigital #tecnologiasita #embarquebiométrico #biometria #aeroportos #tecnologia #familia #aviacao #aviation #covid19 #aviacaoexecutiva #latam #linhaaerea #tripulacao #novonormal #floripaairport</t>
  </si>
  <si>
    <t>13/10/2020, 21:30:53</t>
  </si>
  <si>
    <t>⠀
#alunos #antirracista #combateaopreconceito #consciêncianegra #diversidaderacial #educação #emicida #grammylatino #igualdade #respeito #negros #negras #culturaafro #vidasnegrasimportam #diadaconsciencianegra #combateaoracismo</t>
  </si>
  <si>
    <t>20/11/2020, 15:28:35</t>
  </si>
  <si>
    <t>20/11/2020, 16:30:21</t>
  </si>
  <si>
    <t>Oi, tudo bem! Sou uma das fotógrafas da exposição junto com o Hugo Martins @hugomartinsfoto. Poderiam mencionar a gente na publicação? Os créditos ajudam na divulgação do nosso trabalho. ☺️</t>
  </si>
  <si>
    <t>01/12/2020, 13:54:01</t>
  </si>
  <si>
    <t>@eu.regianerios Não está matéria? Vamos ver e incluir!</t>
  </si>
  <si>
    <t>07/12/2020, 14:06:32</t>
  </si>
  <si>
    <t>Todo dia você tem a chance de ver as mesmas coisas de uma forma diferente.</t>
  </si>
  <si>
    <t>19/08/2022, 17:41:27</t>
  </si>
  <si>
    <t>triste demais</t>
  </si>
  <si>
    <t>28/11/2020, 18:44:55</t>
  </si>
  <si>
    <t>12/12/2020, 12:09:12</t>
  </si>
  <si>
    <t>12/12/2020, 12:49:01</t>
  </si>
  <si>
    <t>04/12/2020, 22:30:58</t>
  </si>
  <si>
    <t>Ojalá el próximo año podamos viajar más 😉</t>
  </si>
  <si>
    <t>21/12/2020, 19:06:35</t>
  </si>
  <si>
    <t>21/12/2020, 16:32:57</t>
  </si>
  <si>
    <t>🙏🏽🙏🏽🙏🏽</t>
  </si>
  <si>
    <t>12/11/2022, 07:48:40</t>
  </si>
  <si>
    <t>Tripulação de máscara e passageiros sem???? Confere?????</t>
  </si>
  <si>
    <t>07/12/2022, 16:14:20</t>
  </si>
  <si>
    <t>Sobre os passageiros, a Latam não divulgou, apenas da tripulação e adesivagem da aeronave</t>
  </si>
  <si>
    <t>09/12/2022, 12:47:36</t>
  </si>
  <si>
    <t>Esse foi o voo que estava liberado o uso de máscaras pelos passageiros né? Que legal.......</t>
  </si>
  <si>
    <t>09/12/2022, 13:28:53</t>
  </si>
  <si>
    <t>As imagens divulgadas pela Latam mostram a tripulação e a comunicação visual da aeronave.</t>
  </si>
  <si>
    <t>09/12/2022, 13:44:24</t>
  </si>
  <si>
    <t>Ué… Kd o 7 x 1 de 2014? Faltou</t>
  </si>
  <si>
    <t>09/12/2022, 18:18:04</t>
  </si>
  <si>
    <t>@lucianomendes0712 Verdade!!, não podemos esquecer, agradecemos por lembrar</t>
  </si>
  <si>
    <t>09/12/2022, 18:19:57</t>
  </si>
  <si>
    <t>🙏🏾👍🏾</t>
  </si>
  <si>
    <t>26/12/2022, 17:14:01</t>
  </si>
  <si>
    <t>Promote it on @emperorpod</t>
  </si>
  <si>
    <t>22/04/2021, 11:52:00</t>
  </si>
  <si>
    <t>👏🏾</t>
  </si>
  <si>
    <t>12/04/2021, 18:04:43</t>
  </si>
  <si>
    <t>Fantastic
 picture, we 'd  like to  collaborate with you for
more info message our main account in my
 biography</t>
  </si>
  <si>
    <t>20/01/2023, 07:22:07</t>
  </si>
  <si>
    <t>É muito importante a participação de todos e todas!</t>
  </si>
  <si>
    <t>12/01/2023, 12:17:39</t>
  </si>
  <si>
    <t>De fato é um problema de saúde pública gravíssimo!</t>
  </si>
  <si>
    <t>22/05/2021, 10:03:05</t>
  </si>
  <si>
    <t>A Ação da Cidadania está trabalhando há 30 anos para combater a fome, mas o problema foi os últimos 4 anos. 😜</t>
  </si>
  <si>
    <t>30/01/2023, 17:48:56</t>
  </si>
  <si>
    <t>@analauragomes2009 exatamente, lamentável o que estamos vendo com povo Yanomami, nosso povo</t>
  </si>
  <si>
    <t>30/01/2023, 17:50:49</t>
  </si>
  <si>
    <t>Me assusta ver como existem pessoas que não se comovem com a morte de tantas crianças.. Mas, enfim, cada um oferece o que tem...</t>
  </si>
  <si>
    <t>31/01/2023, 08:17:58</t>
  </si>
  <si>
    <t>04/06/2021, 22:32:35</t>
  </si>
  <si>
    <t>👏👏👏👏❤️</t>
  </si>
  <si>
    <t>23/06/2021, 23:37:49</t>
  </si>
  <si>
    <t>@snaeroviarios @claudia.sousafonseca</t>
  </si>
  <si>
    <t>24/08/2021, 11:38:49</t>
  </si>
  <si>
    <t>💪🏾❤️</t>
  </si>
  <si>
    <t>24/08/2021, 12:02:03</t>
  </si>
  <si>
    <t>Coisa linda 😍🧡👏🏾</t>
  </si>
  <si>
    <t>29/07/2021, 13:20:12</t>
  </si>
  <si>
    <t>Send pic on @wine__promotion</t>
  </si>
  <si>
    <t>16/04/2023, 12:09:32</t>
  </si>
  <si>
    <t>SEND📸PIC🧘👉🍷👉 @WINES_BRAND</t>
  </si>
  <si>
    <t>16/04/2023, 12:11:26</t>
  </si>
  <si>
    <t>Love it dm✨@travel__gallery_</t>
  </si>
  <si>
    <t>19/07/2021, 17:25:42</t>
  </si>
  <si>
    <t>Love it 🔥on it @theaglesrecords</t>
  </si>
  <si>
    <t>23/07/2021, 16:57:07</t>
  </si>
  <si>
    <t>23/07/2021, 21:09:14</t>
  </si>
  <si>
    <t>Precisamos mudar essa realidade ✈️</t>
  </si>
  <si>
    <t>01/06/2023, 17:03:53</t>
  </si>
  <si>
    <t>Foi maravilhoso, obrigada pela oportunidade 👏❤️</t>
  </si>
  <si>
    <t>03/08/2021, 17:51:09</t>
  </si>
  <si>
    <t>Incredible
photo, we 'd love to work with you for
 a lot more  information message our  primary account in my
 biography</t>
  </si>
  <si>
    <t>26/05/2023, 11:11:56</t>
  </si>
  <si>
    <t>Promote it ! On @Paradise_of.travel</t>
  </si>
  <si>
    <t>06/08/2021, 21:53:41</t>
  </si>
  <si>
    <t>Promote it on @Natural__.life</t>
  </si>
  <si>
    <t>19/08/2021, 15:20:00</t>
  </si>
  <si>
    <t>Promote it on ❤️ @life_of_travling</t>
  </si>
  <si>
    <t>Love it dm✨@heaven_.of._travel</t>
  </si>
  <si>
    <t>19/08/2021, 15:20:02</t>
  </si>
  <si>
    <t>Love it 💌 Dm us  @world_of_travel._</t>
  </si>
  <si>
    <t>19/08/2021, 15:20:20</t>
  </si>
  <si>
    <t>❤️❤️❤️</t>
  </si>
  <si>
    <t>23/06/2023, 08:50:45</t>
  </si>
  <si>
    <t>Eu jurava que ele não sabia escrever...</t>
  </si>
  <si>
    <t>08/10/2024, 14:22:34</t>
  </si>
  <si>
    <t>A AZUL acaba de perder um cliente assíduo. Inclusive voltei dos EUA 🇺🇸 com a AZUL há menos de 15 dias. Nunca mais.</t>
  </si>
  <si>
    <t>08/10/2024, 14:40:34</t>
  </si>
  <si>
    <t>Pessoal de direita… bora voar outras Cias Aéreas, não mais AZUL.</t>
  </si>
  <si>
    <t>08/10/2024, 14:41:17</t>
  </si>
  <si>
    <t>A azul vai ficar no vermelho 😂😂</t>
  </si>
  <si>
    <t>08/10/2024, 15:17:51</t>
  </si>
  <si>
    <t>Parabéns 👏🏿 presidente Lula e Azul 💙</t>
  </si>
  <si>
    <t>08/10/2024, 15:22:00</t>
  </si>
  <si>
    <t>Combustível verde 💚 é importante para aviação, ótima iniciativa</t>
  </si>
  <si>
    <t>08/10/2024, 15:22:30</t>
  </si>
  <si>
    <t>Legal, presidente Lula! O melhor presidente do Brasil!</t>
  </si>
  <si>
    <t>08/10/2024, 15:24:53</t>
  </si>
  <si>
    <t>Agora só vou viajar de @azulinhasaereas Maravilhoso, orgulho desse presidente</t>
  </si>
  <si>
    <t>08/10/2024, 15:28:18</t>
  </si>
  <si>
    <t>Motor de avião virou caderno de caligrafia.......</t>
  </si>
  <si>
    <t>08/10/2024, 17:40:08</t>
  </si>
  <si>
    <t>Não escreveu, só rabiscou 😂</t>
  </si>
  <si>
    <t>08/10/2024, 21:19:20</t>
  </si>
  <si>
    <t>👏🏼👏🏼👏🏼👏🏼👏🏼👏🏼💚💚</t>
  </si>
  <si>
    <t>08/10/2024, 14:11:05</t>
  </si>
  <si>
    <t>Parabéns a todos aviadores</t>
  </si>
  <si>
    <t>25/10/2024, 15:03:57</t>
  </si>
  <si>
    <t>Que legal 😃</t>
  </si>
  <si>
    <t>18/10/2024, 22:52:24</t>
  </si>
  <si>
    <t>👏🏼👏🏼👏🏼👏🏼👏🏼👏🏼</t>
  </si>
  <si>
    <t>21/10/2024, 18:38:24</t>
  </si>
  <si>
    <t>👏👏👏👏 notícia ótima Viva o Rio grande do Sul</t>
  </si>
  <si>
    <t>21/10/2024, 18:47:17</t>
  </si>
  <si>
    <t>Legal, Aeroporto Salgado Filho</t>
  </si>
  <si>
    <t>21/10/2024, 18:47:51</t>
  </si>
  <si>
    <t>💙💙💙😍😍</t>
  </si>
  <si>
    <t>25/01/2025, 20:08:32</t>
  </si>
  <si>
    <t>Que triste</t>
  </si>
  <si>
    <t>09/01/2025, 12:07:26</t>
  </si>
  <si>
    <t>09/01/2025, 12:19:51</t>
  </si>
  <si>
    <t>🙏🙏🙏</t>
  </si>
  <si>
    <t>25/01/2025, 20:07:14</t>
  </si>
  <si>
    <t>Assisti e recomendo! Sensacional</t>
  </si>
  <si>
    <t>11/01/2025, 23:06:59</t>
  </si>
  <si>
    <t>👏👏👏👏👏👏👏👏</t>
  </si>
  <si>
    <t>25/01/2025, 20:05:41</t>
  </si>
  <si>
    <t>Bom dia, ! Ótima segunda-feira para você!
NASCI NA ESPERANÇA.</t>
  </si>
  <si>
    <t>10/02/2025, 10:10:38</t>
  </si>
  <si>
    <t>Pra todos nós</t>
  </si>
  <si>
    <t>10/02/2025, 15:52:15</t>
  </si>
  <si>
    <t>25/01/2025, 20:04:57</t>
  </si>
  <si>
    <t>😍😍😍😍😍</t>
  </si>
  <si>
    <t>25/01/2025, 20:03:45</t>
  </si>
  <si>
    <t>😍😍😍😍👏👏👏👏👏👏</t>
  </si>
  <si>
    <t>25/01/2025, 20:03:09</t>
  </si>
  <si>
    <t>Parabéns cidade de pessoas de luta</t>
  </si>
  <si>
    <t>25/01/2025, 10:25:32</t>
  </si>
  <si>
    <t>25/01/2025, 20:02:25</t>
  </si>
  <si>
    <t>Vamos valorizar quem somos, melhorar o que temos e promover mais trabalho! Por um país mais digno e por pessoas vivendo com dignidade. Que nossas lideranças olhem pelo nosso país com seriedade, para que ele não se torne uma bagunça.</t>
  </si>
  <si>
    <t>27/01/2025, 16:53:23</t>
  </si>
  <si>
    <t>👏👏😍😍😍 o bom filho ,à  casa torna!! Jamais valorizar a casa do outro,  mais do que a sua !</t>
  </si>
  <si>
    <t>27/01/2025, 16:59:16</t>
  </si>
  <si>
    <t>@dennamatos meu fio, já está uma bagunça com este desgoverno 🤡</t>
  </si>
  <si>
    <t>27/01/2025, 17:58:00</t>
  </si>
  <si>
    <t>@louevera valorizaram tanta a casa alheia que pagaram coyote pra entrar ilegalmente nos EUA. Pagaram dinheiro alto para sumir do Brasil. Não vieram por iniciativa própria, vieram expulsos. Essa ministra não tem dignidade para falar de direitos humanos. Perguntem pra ela sobre a merenda escolar em MG.</t>
  </si>
  <si>
    <t>27/01/2025, 18:47:43</t>
  </si>
  <si>
    <t>E a merenda escolar em MG ?</t>
  </si>
  <si>
    <t>27/01/2025, 18:47:59</t>
  </si>
  <si>
    <t>Pergunte ao Zema</t>
  </si>
  <si>
    <t>27/01/2025, 22:29:05</t>
  </si>
  <si>
    <t>@_toledonick2  ela fez isso numa prefeitura, não no estado.</t>
  </si>
  <si>
    <t>28/01/2025, 10:27:37</t>
  </si>
  <si>
    <t>Muito bom, ministra!</t>
  </si>
  <si>
    <t>29/01/2025, 10:07:42</t>
  </si>
  <si>
    <t>Tristeza 😢</t>
  </si>
  <si>
    <t>07/02/2025, 15:44:22</t>
  </si>
  <si>
    <t>Falso!</t>
  </si>
  <si>
    <t>14/03/2025, 12:17:07</t>
  </si>
  <si>
    <t>26/02/2025, 23:48:59</t>
  </si>
  <si>
    <t>Todos aeroportos deveriam ter esse serviço</t>
  </si>
  <si>
    <t>10/04/2025, 21:05:26</t>
  </si>
  <si>
    <t>Esculhambou com a igreja católica...</t>
  </si>
  <si>
    <t>18/05/2025, 04:58:03</t>
  </si>
  <si>
    <t>Agora sim, temos Papa!👏👏👏</t>
  </si>
  <si>
    <t>18/05/2025, 04:58:28</t>
  </si>
  <si>
    <t>Parabéns 👏🏿 a todas mães</t>
  </si>
  <si>
    <t>11/05/2025, 23:17:45</t>
  </si>
  <si>
    <t>Como entrar em contato</t>
  </si>
  <si>
    <t>08/01/2026, 11:02:17</t>
  </si>
  <si>
    <t>https://www.voeazul.com.br/content/azul/voe-azul/br/pt/sobreazul/conheca-azul/trabalhe-na-azul.html</t>
  </si>
  <si>
    <t>08/01/2026, 11:08:27</t>
  </si>
  <si>
    <t>#setoraéreo✈</t>
  </si>
  <si>
    <t>07/05/2025, 18:38:12</t>
  </si>
  <si>
    <t>Iniciativa Sensacional! 👏👏👏</t>
  </si>
  <si>
    <t>08/05/2025, 22:53:38</t>
  </si>
  <si>
    <t>08/05/2025, 20:28:05</t>
  </si>
  <si>
    <t>19/06/2025, 11:53:49</t>
  </si>
  <si>
    <t>Parabéns @aeroportobsb o melhor avaliado😍👏👏👏👏👏👏</t>
  </si>
  <si>
    <t>28/05/2025, 12:45:49</t>
  </si>
  <si>
    <t>Parabéns a todos da área 👏👏👏❤️</t>
  </si>
  <si>
    <t>22/06/2025, 10:14:23</t>
  </si>
  <si>
    <t>Vídeo emocionante!
muito bom!</t>
  </si>
  <si>
    <t>24/07/2025, 19:13:39</t>
  </si>
  <si>
    <t>Depois dá uma olhadinha lá!</t>
  </si>
  <si>
    <t>24/07/2025, 19:13:45</t>
  </si>
  <si>
    <t>25/07/2025, 19:50:59</t>
  </si>
  <si>
    <t>Mandei uma mensagem para você!</t>
  </si>
  <si>
    <t>25/07/2025, 19:51:03</t>
  </si>
  <si>
    <t>26/07/2025, 21:13:04</t>
  </si>
  <si>
    <t>Parabéns Revista Embarque pela reportagem!</t>
  </si>
  <si>
    <t>24/07/2025, 19:27:15</t>
  </si>
  <si>
    <t>Onde faz a inscrição?</t>
  </si>
  <si>
    <t>20/08/2025, 14:50:35</t>
  </si>
  <si>
    <t>Gosto de viajar de avião e se conseguisse uma vaga quem sabe trabalhar na aviação ✈️❤️</t>
  </si>
  <si>
    <t>15/11/2025, 21:55:00</t>
  </si>
  <si>
    <t>12/09/2025, 18:55:05</t>
  </si>
  <si>
    <t>Importante investimento em manutenção, fundamental para assegurar nossa segurança de voo</t>
  </si>
  <si>
    <t>27/09/2025, 19:31:16</t>
  </si>
  <si>
    <t>❤️ parabéns 👏🏿</t>
  </si>
  <si>
    <t>25/10/2025, 17:17:56</t>
  </si>
  <si>
    <t>03/11/2025, 18:35:00</t>
  </si>
  <si>
    <t>Eu quero me candidatar!</t>
  </si>
  <si>
    <t>07/03/2026, 02:13:04</t>
  </si>
  <si>
    <t>latam segue em ritmo de desordem total... voos atrasados, bagagens demoram@mais de uma@hora para chegarem na esteira. pior cia arrea do Brasil hj</t>
  </si>
  <si>
    <t>03/04/2026, 01:01:44</t>
  </si>
  <si>
    <t>Sensacional!!!!👏🏽👏🏽👏🏽</t>
  </si>
  <si>
    <t>22/12/2025, 09:41:45</t>
  </si>
  <si>
    <t>O aeroporto que deixa a gente mais tenso quando o avião se aproxima da cabeceira dessa pista. 😳</t>
  </si>
  <si>
    <t>01/12/2025, 19:32:00</t>
  </si>
  <si>
    <t>02/12/2025, 07:30:25</t>
  </si>
  <si>
    <t>4️⃣ só se eu estiver no comando</t>
  </si>
  <si>
    <t>18/02/2026, 22:15:34</t>
  </si>
  <si>
    <t>Justiça! Orelha, presente!</t>
  </si>
  <si>
    <t>28/01/2026, 18:18:37</t>
  </si>
  <si>
    <t>O dificil é conseguir manter isso com 120.reais mensais</t>
  </si>
  <si>
    <t>23/02/2026, 13:35:25</t>
  </si>
  <si>
    <t>Para o padrão que exigem ainda é pouco, ainda sem contabilizar os estragos na pele!</t>
  </si>
  <si>
    <t>23/02/2026, 14:02:35</t>
  </si>
  <si>
    <t>A favor do natural e cara limpa, mas se exigem o impecável que paguem por isso! Justo!</t>
  </si>
  <si>
    <t>27/02/2026, 00:22:01</t>
  </si>
  <si>
    <t>A quem importa implantar terror no México?  Como sempre.....🇺🇲🇺🇲</t>
  </si>
  <si>
    <t>23/02/2026, 16:27:11</t>
  </si>
  <si>
    <t>Nossa que tristeza!😢</t>
  </si>
  <si>
    <t>24/02/2026, 16:15:54</t>
  </si>
  <si>
    <t>Avião da coca e não dá copa ,nada haver.....</t>
  </si>
  <si>
    <t>27/02/2026, 17:42:09</t>
  </si>
  <si>
    <t>👏👏👏👏👏👏👏👏👏👏</t>
  </si>
  <si>
    <t>09/03/2026, 20:47:50</t>
  </si>
  <si>
    <t>👏👏👏👏👏👏👏</t>
  </si>
  <si>
    <t>09/03/2026, 23:02:45</t>
  </si>
  <si>
    <t>Parabéns às aviadoras</t>
  </si>
  <si>
    <t>10/03/2026, 00:10:10</t>
  </si>
  <si>
    <t>Sensacional !!!🥰🥰🥰🥰🥰🥰🥰🥰🙌😀</t>
  </si>
  <si>
    <t>10/03/2026, 16:47:06</t>
  </si>
  <si>
    <t>🧈 🛬!!👏(x100)</t>
  </si>
  <si>
    <t>10/03/2026, 17:13:49</t>
  </si>
  <si>
    <t>sexy</t>
  </si>
  <si>
    <t>11/03/2026, 13:57:03</t>
  </si>
  <si>
    <t>IA</t>
  </si>
  <si>
    <t>12/03/2026, 18:18:28</t>
  </si>
  <si>
    <t>...Respekt!!!</t>
  </si>
  <si>
    <t>13/03/2026, 07:05:29</t>
  </si>
  <si>
    <t>Good Landing, Captain Pilot lady😍</t>
  </si>
  <si>
    <t>13/03/2026, 13:52:34</t>
  </si>
  <si>
    <t>😍the best job in the world</t>
  </si>
  <si>
    <t>17/03/2026, 01:16:27</t>
  </si>
  <si>
    <t>@ariel.medeirosvianna like your brain</t>
  </si>
  <si>
    <t>20/03/2026, 05:34:35</t>
  </si>
  <si>
    <t>24/03/2026, 15:35:08</t>
  </si>
  <si>
    <t>👏👏👏👏👏👏👏👏👏👏👏👏👏👏👏👏👏👏👏👏👏</t>
  </si>
  <si>
    <t>28/03/2026, 22:02:37</t>
  </si>
  <si>
    <t>Fantástico</t>
  </si>
  <si>
    <t>03/04/2026, 07:25:39</t>
  </si>
  <si>
    <t>Quero saber o que esses países ganham com essa guerra?</t>
  </si>
  <si>
    <t>17/03/2026, 14:42:44</t>
  </si>
  <si>
    <t>O próprio Trump falou que está a milhares de quilômetros do Iran, ou seja, quem está sendo prejudicado?</t>
  </si>
  <si>
    <t>17/03/2026, 14:44:48</t>
  </si>
  <si>
    <t>That one doesn't look like Dubai</t>
  </si>
  <si>
    <t>17/03/2026, 15:10:54</t>
  </si>
  <si>
    <t>Dubai? Ahahah not!</t>
  </si>
  <si>
    <t>17/03/2026, 19:41:02</t>
  </si>
  <si>
    <t>Fake! Not Dubai</t>
  </si>
  <si>
    <t>17/03/2026, 19:41:12</t>
  </si>
  <si>
    <t>You're lying.</t>
  </si>
  <si>
    <t>17/03/2026, 20:39:16</t>
  </si>
  <si>
    <t>You are lying this is a fire for a popular market in Ajman seven years ago</t>
  </si>
  <si>
    <t>17/03/2026, 20:39:56</t>
  </si>
  <si>
    <t>Que absurdo!</t>
  </si>
  <si>
    <t>18/03/2026, 09:50:42</t>
  </si>
  <si>
    <t>@flyzila</t>
  </si>
  <si>
    <t>30/03/2026, 10:18:01</t>
  </si>
  <si>
    <t>Ela arrasa demais!</t>
  </si>
  <si>
    <t>30/03/2026, 15:27:44</t>
  </si>
  <si>
    <t>📷 @paolavianna</t>
  </si>
  <si>
    <t>30/03/2026, 15:32:24</t>
  </si>
  <si>
    <t>👏🏻👏🏻👏🏻👏🏻</t>
  </si>
  <si>
    <t>30/03/2026, 16:28:16</t>
  </si>
  <si>
    <t>Exemplo e Inspiração! ✈️💜</t>
  </si>
  <si>
    <t>30/03/2026, 18:43:18</t>
  </si>
  <si>
    <t>Sucesso! 👏✈️</t>
  </si>
  <si>
    <t>30/03/2026, 20:22:29</t>
  </si>
  <si>
    <t>30/03/2026, 20:59:53</t>
  </si>
  <si>
    <t>Sucesso certo ✨✨</t>
  </si>
  <si>
    <t>30/03/2026, 21:37:01</t>
  </si>
  <si>
    <t>Orgulho 👏👏👏👏</t>
  </si>
  <si>
    <t>30/03/2026, 22:09:23</t>
  </si>
  <si>
    <t>Sucesso @akurebayashi277 👏👏</t>
  </si>
  <si>
    <t>30/03/2026, 22:15:08</t>
  </si>
  <si>
    <t>Sucesso 🙌🏾👏🏾🛫</t>
  </si>
  <si>
    <t>30/03/2026, 23:17:20</t>
  </si>
  <si>
    <t>Que orgulho!! 🤩</t>
  </si>
  <si>
    <t>30/03/2026, 23:22:03</t>
  </si>
  <si>
    <t>Que exemplo!! Sucesso!</t>
  </si>
  <si>
    <t>31/03/2026, 06:12:03</t>
  </si>
  <si>
    <t>Que demaisss!! Parabéns @alinekurebayashi !! Muito merecido</t>
  </si>
  <si>
    <t>31/03/2026, 06:24:24</t>
  </si>
  <si>
    <t>01/04/2026, 00:10:59</t>
  </si>
  <si>
    <t>😢❤️RIP BEAUTIFUL SOULS</t>
  </si>
  <si>
    <t>24/03/2026, 10:37:56</t>
  </si>
  <si>
    <t>A solemn, but empty speech. ⏬️</t>
  </si>
  <si>
    <t>24/03/2026, 17:40:50</t>
  </si>
  <si>
    <t>💔😖😢🇲🇦</t>
  </si>
  <si>
    <t>24/03/2026, 18:08:17</t>
  </si>
  <si>
    <t>Very bad! How can he be in that position still?</t>
  </si>
  <si>
    <t>24/03/2026, 22:02:17</t>
  </si>
  <si>
    <t>Só 12 Anos de atraso ta suave se tratando da maior Cidade da América Latina 😂😂😂😂</t>
  </si>
  <si>
    <t>04/04/2026, 21:20:06</t>
  </si>
  <si>
    <t>@siidpereiiraa e imcompleto ainda kkkkk</t>
  </si>
  <si>
    <t>04/04/2026, 22:38:02</t>
  </si>
  <si>
    <t>12 anos de atraso pra ainda logo menos cai um pneu igual na linha 15 não ando nisso nem a pau</t>
  </si>
  <si>
    <t>05/04/2026, 13:07:09</t>
  </si>
  <si>
    <t>Falou bonito o comandante do caça, pena o " presidente" não ter entendido 3% do que ouviu..........</t>
  </si>
  <si>
    <t>25/03/2026, 14:53:53</t>
  </si>
  <si>
    <t>Que emoção, caça brasileiro é o nosso Brasil, que orgulho presidente Lula👏</t>
  </si>
  <si>
    <t>25/03/2026, 15:13:23</t>
  </si>
  <si>
    <t>@vivimidia quanto orgulho né?!? Corrupcão  roubalheira,  bandidagem, 😂😂😂😂</t>
  </si>
  <si>
    <t>26/03/2026, 00:19:46</t>
  </si>
  <si>
    <t>Podia testar o poder de fogo no aerolula.. 😂😂😂</t>
  </si>
  <si>
    <t>26/03/2026, 00:20:16</t>
  </si>
  <si>
    <t>@vivimidia credo 😂😂😂</t>
  </si>
  <si>
    <t>26/03/2026, 06:39:00</t>
  </si>
  <si>
    <t>Só vi o vídeo para evitar o áudio.......</t>
  </si>
  <si>
    <t>26/03/2026, 12:37:13</t>
  </si>
  <si>
    <t>Vagabundo.</t>
  </si>
  <si>
    <t>26/03/2026, 12:40:48</t>
  </si>
  <si>
    <t>Nem pra Tr0peçar, C4ir é bater o CR4NI0 😂</t>
  </si>
  <si>
    <t>26/03/2026, 13:20:48</t>
  </si>
  <si>
    <t>🤮</t>
  </si>
  <si>
    <t>26/03/2026, 18:41:36</t>
  </si>
  <si>
    <t>@flavioratinho não gosta de quem faz, gosta de quem é inútil q só ferrou o país</t>
  </si>
  <si>
    <t>26/03/2026, 19:01:46</t>
  </si>
  <si>
    <t>26/03/2026, 19:07:42</t>
  </si>
  <si>
    <t>@danielfanha , exatamente! Gosto dos funcionários que produzem. Ainda bem que vc me entendeu.</t>
  </si>
  <si>
    <t>26/03/2026, 19:18:21</t>
  </si>
  <si>
    <t>Onde já se viu um presidente de um país grande como Brasil se submeter a um presidente desse</t>
  </si>
  <si>
    <t>26/03/2026, 19:19:31</t>
  </si>
  <si>
    <t>Pena que não seja mais nossa. Os acionistas da Embraer são na imensa maioria estrangeiros..(Fundos de investimentos)...e os poucos brasileiros são os fundos de pensão do BB E CAIXA.</t>
  </si>
  <si>
    <t>26/03/2026, 19:35:24</t>
  </si>
  <si>
    <t>Proxima a quebrar.....assim foi quase  com a Azul qdo John deu um quepe p esse descondensdo</t>
  </si>
  <si>
    <t>26/03/2026, 22:16:35</t>
  </si>
  <si>
    <t>26/03/2026, 22:17:48</t>
  </si>
  <si>
    <t>Vergonha é pouco.</t>
  </si>
  <si>
    <t>27/03/2026, 17:25:01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</si>
</sst>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11"/>
  <sheetViews>
    <sheetView tabSelected="1" topLeftCell="B1" workbookViewId="0">
      <selection activeCell="E4" sqref="E4"/>
    </sheetView>
  </sheetViews>
  <sheetFormatPr defaultRowHeight="15" x14ac:dyDescent="0.25"/>
  <cols>
    <col min="1" max="1" width="18.28515625" bestFit="1" customWidth="1"/>
    <col min="2" max="2" width="113.28515625" customWidth="1"/>
    <col min="3" max="3" width="20.42578125" bestFit="1" customWidth="1"/>
  </cols>
  <sheetData>
    <row r="1" spans="1:3" x14ac:dyDescent="0.25">
      <c r="A1" s="1" t="s">
        <v>0</v>
      </c>
      <c r="B1" s="1" t="s">
        <v>1</v>
      </c>
      <c r="C1" s="1" t="s">
        <v>2</v>
      </c>
    </row>
    <row r="2" spans="1:3" x14ac:dyDescent="0.25">
      <c r="A2" t="str">
        <f>"18009010531280034"</f>
        <v>18009010531280034</v>
      </c>
      <c r="B2" t="s">
        <v>3</v>
      </c>
      <c r="C2" t="s">
        <v>4</v>
      </c>
    </row>
    <row r="3" spans="1:3" x14ac:dyDescent="0.25">
      <c r="A3" t="str">
        <f>"17864094682772134"</f>
        <v>17864094682772134</v>
      </c>
      <c r="B3" t="s">
        <v>5</v>
      </c>
      <c r="C3" t="s">
        <v>6</v>
      </c>
    </row>
    <row r="4" spans="1:3" x14ac:dyDescent="0.25">
      <c r="A4" t="str">
        <f>"17862448927781952"</f>
        <v>17862448927781952</v>
      </c>
      <c r="B4" t="s">
        <v>7</v>
      </c>
      <c r="C4" t="s">
        <v>8</v>
      </c>
    </row>
    <row r="5" spans="1:3" x14ac:dyDescent="0.25">
      <c r="A5" t="str">
        <f>"18100252615093220"</f>
        <v>18100252615093220</v>
      </c>
      <c r="B5" t="s">
        <v>9</v>
      </c>
      <c r="C5" t="s">
        <v>10</v>
      </c>
    </row>
    <row r="6" spans="1:3" x14ac:dyDescent="0.25">
      <c r="A6" t="str">
        <f>"18009010531280034"</f>
        <v>18009010531280034</v>
      </c>
      <c r="B6" t="s">
        <v>3</v>
      </c>
      <c r="C6" t="s">
        <v>4</v>
      </c>
    </row>
    <row r="7" spans="1:3" x14ac:dyDescent="0.25">
      <c r="A7" t="str">
        <f>"17864094682772134"</f>
        <v>17864094682772134</v>
      </c>
      <c r="B7" t="s">
        <v>5</v>
      </c>
      <c r="C7" t="s">
        <v>6</v>
      </c>
    </row>
    <row r="8" spans="1:3" x14ac:dyDescent="0.25">
      <c r="A8" t="str">
        <f>"17862448927781952"</f>
        <v>17862448927781952</v>
      </c>
      <c r="B8" t="s">
        <v>7</v>
      </c>
      <c r="C8" t="s">
        <v>8</v>
      </c>
    </row>
    <row r="9" spans="1:3" x14ac:dyDescent="0.25">
      <c r="A9" t="str">
        <f>"18100252615093220"</f>
        <v>18100252615093220</v>
      </c>
      <c r="B9" t="s">
        <v>9</v>
      </c>
      <c r="C9" t="s">
        <v>10</v>
      </c>
    </row>
    <row r="10" spans="1:3" x14ac:dyDescent="0.25">
      <c r="A10" t="str">
        <f>"17846061521062934"</f>
        <v>17846061521062934</v>
      </c>
      <c r="B10" t="s">
        <v>11</v>
      </c>
      <c r="C10" t="s">
        <v>12</v>
      </c>
    </row>
    <row r="11" spans="1:3" x14ac:dyDescent="0.25">
      <c r="A11" t="str">
        <f>"17846061521062934"</f>
        <v>17846061521062934</v>
      </c>
      <c r="B11" t="s">
        <v>11</v>
      </c>
      <c r="C11" t="s">
        <v>12</v>
      </c>
    </row>
    <row r="12" spans="1:3" x14ac:dyDescent="0.25">
      <c r="A12" t="str">
        <f>"17846061521062934"</f>
        <v>17846061521062934</v>
      </c>
      <c r="B12" t="s">
        <v>11</v>
      </c>
      <c r="C12" t="s">
        <v>12</v>
      </c>
    </row>
    <row r="13" spans="1:3" x14ac:dyDescent="0.25">
      <c r="A13" t="str">
        <f>"17858574541874412"</f>
        <v>17858574541874412</v>
      </c>
      <c r="B13" t="s">
        <v>13</v>
      </c>
      <c r="C13" t="s">
        <v>14</v>
      </c>
    </row>
    <row r="14" spans="1:3" x14ac:dyDescent="0.25">
      <c r="A14" t="str">
        <f>"17858574541874412"</f>
        <v>17858574541874412</v>
      </c>
      <c r="B14" t="s">
        <v>13</v>
      </c>
      <c r="C14" t="s">
        <v>14</v>
      </c>
    </row>
    <row r="15" spans="1:3" x14ac:dyDescent="0.25">
      <c r="A15" t="str">
        <f>"17858574541874412"</f>
        <v>17858574541874412</v>
      </c>
      <c r="B15" t="s">
        <v>13</v>
      </c>
      <c r="C15" t="s">
        <v>14</v>
      </c>
    </row>
    <row r="16" spans="1:3" x14ac:dyDescent="0.25">
      <c r="A16" t="str">
        <f>"17842741732614751"</f>
        <v>17842741732614751</v>
      </c>
      <c r="B16" t="s">
        <v>15</v>
      </c>
      <c r="C16" t="s">
        <v>16</v>
      </c>
    </row>
    <row r="17" spans="1:3" x14ac:dyDescent="0.25">
      <c r="A17" t="str">
        <f>"17852289136760121"</f>
        <v>17852289136760121</v>
      </c>
      <c r="B17" t="s">
        <v>17</v>
      </c>
      <c r="C17" t="s">
        <v>18</v>
      </c>
    </row>
    <row r="18" spans="1:3" x14ac:dyDescent="0.25">
      <c r="A18" t="str">
        <f>"17852289136760121"</f>
        <v>17852289136760121</v>
      </c>
      <c r="B18" t="s">
        <v>17</v>
      </c>
      <c r="C18" t="s">
        <v>18</v>
      </c>
    </row>
    <row r="19" spans="1:3" x14ac:dyDescent="0.25">
      <c r="A19" t="str">
        <f>"17852289136760121"</f>
        <v>17852289136760121</v>
      </c>
      <c r="B19" t="s">
        <v>17</v>
      </c>
      <c r="C19" t="s">
        <v>18</v>
      </c>
    </row>
    <row r="20" spans="1:3" x14ac:dyDescent="0.25">
      <c r="A20" t="str">
        <f>"17852289136760121"</f>
        <v>17852289136760121</v>
      </c>
      <c r="B20" t="s">
        <v>17</v>
      </c>
      <c r="C20" t="s">
        <v>18</v>
      </c>
    </row>
    <row r="21" spans="1:3" x14ac:dyDescent="0.25">
      <c r="A21" t="str">
        <f>"17847031018909563"</f>
        <v>17847031018909563</v>
      </c>
      <c r="B21" t="s">
        <v>19</v>
      </c>
      <c r="C21" t="s">
        <v>20</v>
      </c>
    </row>
    <row r="22" spans="1:3" x14ac:dyDescent="0.25">
      <c r="A22" t="str">
        <f>"17847031018909563"</f>
        <v>17847031018909563</v>
      </c>
      <c r="B22" t="s">
        <v>19</v>
      </c>
      <c r="C22" t="s">
        <v>20</v>
      </c>
    </row>
    <row r="23" spans="1:3" x14ac:dyDescent="0.25">
      <c r="A23" t="str">
        <f>"17847031018909563"</f>
        <v>17847031018909563</v>
      </c>
      <c r="B23" t="s">
        <v>19</v>
      </c>
      <c r="C23" t="s">
        <v>20</v>
      </c>
    </row>
    <row r="24" spans="1:3" x14ac:dyDescent="0.25">
      <c r="A24" t="str">
        <f>"17875650766168716"</f>
        <v>17875650766168716</v>
      </c>
      <c r="B24" t="s">
        <v>21</v>
      </c>
      <c r="C24" t="s">
        <v>22</v>
      </c>
    </row>
    <row r="25" spans="1:3" x14ac:dyDescent="0.25">
      <c r="A25" t="str">
        <f>"17875650766168716"</f>
        <v>17875650766168716</v>
      </c>
      <c r="B25" t="s">
        <v>21</v>
      </c>
      <c r="C25" t="s">
        <v>22</v>
      </c>
    </row>
    <row r="26" spans="1:3" x14ac:dyDescent="0.25">
      <c r="A26" t="str">
        <f>"17876888188158300"</f>
        <v>17876888188158300</v>
      </c>
      <c r="B26" t="s">
        <v>23</v>
      </c>
      <c r="C26" t="s">
        <v>24</v>
      </c>
    </row>
    <row r="27" spans="1:3" x14ac:dyDescent="0.25">
      <c r="A27" t="str">
        <f>"17876888188158300"</f>
        <v>17876888188158300</v>
      </c>
      <c r="B27" t="s">
        <v>23</v>
      </c>
      <c r="C27" t="s">
        <v>24</v>
      </c>
    </row>
    <row r="28" spans="1:3" x14ac:dyDescent="0.25">
      <c r="A28" t="str">
        <f>"17877911029156511"</f>
        <v>17877911029156511</v>
      </c>
      <c r="B28" t="s">
        <v>25</v>
      </c>
      <c r="C28" t="s">
        <v>26</v>
      </c>
    </row>
    <row r="29" spans="1:3" x14ac:dyDescent="0.25">
      <c r="A29" t="str">
        <f>"17877911029156511"</f>
        <v>17877911029156511</v>
      </c>
      <c r="B29" t="s">
        <v>25</v>
      </c>
      <c r="C29" t="s">
        <v>26</v>
      </c>
    </row>
    <row r="30" spans="1:3" x14ac:dyDescent="0.25">
      <c r="A30" t="str">
        <f>"17877911029156511"</f>
        <v>17877911029156511</v>
      </c>
      <c r="B30" t="s">
        <v>25</v>
      </c>
      <c r="C30" t="s">
        <v>26</v>
      </c>
    </row>
    <row r="31" spans="1:3" x14ac:dyDescent="0.25">
      <c r="A31" t="str">
        <f>"17877911029156511"</f>
        <v>17877911029156511</v>
      </c>
      <c r="B31" t="s">
        <v>25</v>
      </c>
      <c r="C31" t="s">
        <v>26</v>
      </c>
    </row>
    <row r="32" spans="1:3" x14ac:dyDescent="0.25">
      <c r="A32" t="str">
        <f>"17905583755062497"</f>
        <v>17905583755062497</v>
      </c>
      <c r="B32" t="s">
        <v>27</v>
      </c>
      <c r="C32" t="s">
        <v>28</v>
      </c>
    </row>
    <row r="33" spans="1:3" x14ac:dyDescent="0.25">
      <c r="A33" t="str">
        <f>"17905583755062497"</f>
        <v>17905583755062497</v>
      </c>
      <c r="B33" t="s">
        <v>27</v>
      </c>
      <c r="C33" t="s">
        <v>28</v>
      </c>
    </row>
    <row r="34" spans="1:3" x14ac:dyDescent="0.25">
      <c r="A34" t="str">
        <f>"17905583755062497"</f>
        <v>17905583755062497</v>
      </c>
      <c r="B34" t="s">
        <v>27</v>
      </c>
      <c r="C34" t="s">
        <v>28</v>
      </c>
    </row>
    <row r="35" spans="1:3" x14ac:dyDescent="0.25">
      <c r="A35" t="str">
        <f>"17876607766173433"</f>
        <v>17876607766173433</v>
      </c>
      <c r="B35" t="s">
        <v>29</v>
      </c>
      <c r="C35" t="s">
        <v>30</v>
      </c>
    </row>
    <row r="36" spans="1:3" x14ac:dyDescent="0.25">
      <c r="A36" t="str">
        <f>"17876781241173096"</f>
        <v>17876781241173096</v>
      </c>
      <c r="B36" t="s">
        <v>31</v>
      </c>
      <c r="C36" t="s">
        <v>32</v>
      </c>
    </row>
    <row r="37" spans="1:3" x14ac:dyDescent="0.25">
      <c r="A37" t="str">
        <f>"17876607766173433"</f>
        <v>17876607766173433</v>
      </c>
      <c r="B37" t="s">
        <v>29</v>
      </c>
      <c r="C37" t="s">
        <v>30</v>
      </c>
    </row>
    <row r="38" spans="1:3" x14ac:dyDescent="0.25">
      <c r="A38" t="str">
        <f>"17876781241173096"</f>
        <v>17876781241173096</v>
      </c>
      <c r="B38" t="s">
        <v>31</v>
      </c>
      <c r="C38" t="s">
        <v>32</v>
      </c>
    </row>
    <row r="39" spans="1:3" x14ac:dyDescent="0.25">
      <c r="A39" t="str">
        <f>"17866343509196598"</f>
        <v>17866343509196598</v>
      </c>
      <c r="B39" t="s">
        <v>33</v>
      </c>
      <c r="C39" t="s">
        <v>34</v>
      </c>
    </row>
    <row r="40" spans="1:3" x14ac:dyDescent="0.25">
      <c r="A40" t="str">
        <f>"17866343509196598"</f>
        <v>17866343509196598</v>
      </c>
      <c r="B40" t="s">
        <v>33</v>
      </c>
      <c r="C40" t="s">
        <v>34</v>
      </c>
    </row>
    <row r="41" spans="1:3" x14ac:dyDescent="0.25">
      <c r="A41" t="str">
        <f>"17889945061083860"</f>
        <v>17889945061083860</v>
      </c>
      <c r="B41" t="s">
        <v>35</v>
      </c>
      <c r="C41" t="s">
        <v>36</v>
      </c>
    </row>
    <row r="42" spans="1:3" x14ac:dyDescent="0.25">
      <c r="A42" t="str">
        <f>"17889945061083860"</f>
        <v>17889945061083860</v>
      </c>
      <c r="B42" t="s">
        <v>35</v>
      </c>
      <c r="C42" t="s">
        <v>36</v>
      </c>
    </row>
    <row r="43" spans="1:3" x14ac:dyDescent="0.25">
      <c r="A43" t="str">
        <f>"17911663849062483"</f>
        <v>17911663849062483</v>
      </c>
      <c r="B43" t="s">
        <v>37</v>
      </c>
      <c r="C43" t="s">
        <v>38</v>
      </c>
    </row>
    <row r="44" spans="1:3" x14ac:dyDescent="0.25">
      <c r="A44" t="str">
        <f>"17903662021065822"</f>
        <v>17903662021065822</v>
      </c>
      <c r="B44" t="s">
        <v>37</v>
      </c>
      <c r="C44" t="s">
        <v>39</v>
      </c>
    </row>
    <row r="45" spans="1:3" x14ac:dyDescent="0.25">
      <c r="A45" t="str">
        <f>"17911663849062483"</f>
        <v>17911663849062483</v>
      </c>
      <c r="B45" t="s">
        <v>37</v>
      </c>
      <c r="C45" t="s">
        <v>38</v>
      </c>
    </row>
    <row r="46" spans="1:3" x14ac:dyDescent="0.25">
      <c r="A46" t="str">
        <f>"17903662021065822"</f>
        <v>17903662021065822</v>
      </c>
      <c r="B46" t="s">
        <v>37</v>
      </c>
      <c r="C46" t="s">
        <v>39</v>
      </c>
    </row>
    <row r="47" spans="1:3" x14ac:dyDescent="0.25">
      <c r="A47" t="str">
        <f>"17889033940192540"</f>
        <v>17889033940192540</v>
      </c>
      <c r="B47" t="s">
        <v>40</v>
      </c>
      <c r="C47" t="s">
        <v>41</v>
      </c>
    </row>
    <row r="48" spans="1:3" x14ac:dyDescent="0.25">
      <c r="A48" t="str">
        <f>"17905967785073230"</f>
        <v>17905967785073230</v>
      </c>
      <c r="B48" t="s">
        <v>42</v>
      </c>
      <c r="C48" t="s">
        <v>43</v>
      </c>
    </row>
    <row r="49" spans="1:3" x14ac:dyDescent="0.25">
      <c r="A49" t="str">
        <f>"17889033940192540"</f>
        <v>17889033940192540</v>
      </c>
      <c r="B49" t="s">
        <v>40</v>
      </c>
      <c r="C49" t="s">
        <v>41</v>
      </c>
    </row>
    <row r="50" spans="1:3" x14ac:dyDescent="0.25">
      <c r="A50" t="str">
        <f>"17905967785073230"</f>
        <v>17905967785073230</v>
      </c>
      <c r="B50" t="s">
        <v>42</v>
      </c>
      <c r="C50" t="s">
        <v>43</v>
      </c>
    </row>
    <row r="51" spans="1:3" x14ac:dyDescent="0.25">
      <c r="A51" t="str">
        <f>"17889033940192540"</f>
        <v>17889033940192540</v>
      </c>
      <c r="B51" t="s">
        <v>40</v>
      </c>
      <c r="C51" t="s">
        <v>41</v>
      </c>
    </row>
    <row r="52" spans="1:3" x14ac:dyDescent="0.25">
      <c r="A52" t="str">
        <f>"17905967785073230"</f>
        <v>17905967785073230</v>
      </c>
      <c r="B52" t="s">
        <v>42</v>
      </c>
      <c r="C52" t="s">
        <v>43</v>
      </c>
    </row>
    <row r="53" spans="1:3" x14ac:dyDescent="0.25">
      <c r="A53" t="str">
        <f>"17913379507052566"</f>
        <v>17913379507052566</v>
      </c>
      <c r="B53" t="s">
        <v>44</v>
      </c>
      <c r="C53" t="s">
        <v>45</v>
      </c>
    </row>
    <row r="54" spans="1:3" x14ac:dyDescent="0.25">
      <c r="A54" t="str">
        <f>"17913379507052566"</f>
        <v>17913379507052566</v>
      </c>
      <c r="B54" t="s">
        <v>44</v>
      </c>
      <c r="C54" t="s">
        <v>45</v>
      </c>
    </row>
    <row r="55" spans="1:3" x14ac:dyDescent="0.25">
      <c r="A55" t="str">
        <f>"17913379507052566"</f>
        <v>17913379507052566</v>
      </c>
      <c r="B55" t="s">
        <v>44</v>
      </c>
      <c r="C55" t="s">
        <v>45</v>
      </c>
    </row>
    <row r="56" spans="1:3" x14ac:dyDescent="0.25">
      <c r="A56" t="str">
        <f>"17913379507052566"</f>
        <v>17913379507052566</v>
      </c>
      <c r="B56" t="s">
        <v>44</v>
      </c>
      <c r="C56" t="s">
        <v>45</v>
      </c>
    </row>
    <row r="57" spans="1:3" x14ac:dyDescent="0.25">
      <c r="A57" t="str">
        <f>"17913379507052566"</f>
        <v>17913379507052566</v>
      </c>
      <c r="B57" t="s">
        <v>44</v>
      </c>
      <c r="C57" t="s">
        <v>45</v>
      </c>
    </row>
    <row r="58" spans="1:3" x14ac:dyDescent="0.25">
      <c r="A58" t="str">
        <f>"17914457392029614"</f>
        <v>17914457392029614</v>
      </c>
      <c r="B58" t="s">
        <v>46</v>
      </c>
      <c r="C58" t="s">
        <v>47</v>
      </c>
    </row>
    <row r="59" spans="1:3" x14ac:dyDescent="0.25">
      <c r="A59" t="str">
        <f>"17914457392029614"</f>
        <v>17914457392029614</v>
      </c>
      <c r="B59" t="s">
        <v>46</v>
      </c>
      <c r="C59" t="s">
        <v>47</v>
      </c>
    </row>
    <row r="60" spans="1:3" x14ac:dyDescent="0.25">
      <c r="A60" t="str">
        <f>"17904463882079504"</f>
        <v>17904463882079504</v>
      </c>
      <c r="B60" t="s">
        <v>48</v>
      </c>
      <c r="C60" t="s">
        <v>49</v>
      </c>
    </row>
    <row r="61" spans="1:3" x14ac:dyDescent="0.25">
      <c r="A61" t="str">
        <f>"17904463882079504"</f>
        <v>17904463882079504</v>
      </c>
      <c r="B61" t="s">
        <v>48</v>
      </c>
      <c r="C61" t="s">
        <v>49</v>
      </c>
    </row>
    <row r="62" spans="1:3" x14ac:dyDescent="0.25">
      <c r="A62" t="str">
        <f>"17904463882079504"</f>
        <v>17904463882079504</v>
      </c>
      <c r="B62" t="s">
        <v>48</v>
      </c>
      <c r="C62" t="s">
        <v>49</v>
      </c>
    </row>
    <row r="63" spans="1:3" x14ac:dyDescent="0.25">
      <c r="A63" t="str">
        <f>"17934799621078124"</f>
        <v>17934799621078124</v>
      </c>
      <c r="B63" t="s">
        <v>50</v>
      </c>
      <c r="C63" t="s">
        <v>51</v>
      </c>
    </row>
    <row r="64" spans="1:3" x14ac:dyDescent="0.25">
      <c r="A64" t="str">
        <f>"17934799621078124"</f>
        <v>17934799621078124</v>
      </c>
      <c r="B64" t="s">
        <v>50</v>
      </c>
      <c r="C64" t="s">
        <v>51</v>
      </c>
    </row>
    <row r="65" spans="1:3" x14ac:dyDescent="0.25">
      <c r="A65" t="str">
        <f>"17889498175183933"</f>
        <v>17889498175183933</v>
      </c>
      <c r="B65" t="s">
        <v>52</v>
      </c>
      <c r="C65" t="s">
        <v>53</v>
      </c>
    </row>
    <row r="66" spans="1:3" x14ac:dyDescent="0.25">
      <c r="A66" t="str">
        <f>"17889498175183933"</f>
        <v>17889498175183933</v>
      </c>
      <c r="B66" t="s">
        <v>52</v>
      </c>
      <c r="C66" t="s">
        <v>53</v>
      </c>
    </row>
    <row r="67" spans="1:3" x14ac:dyDescent="0.25">
      <c r="A67" t="str">
        <f>"17889689782176485"</f>
        <v>17889689782176485</v>
      </c>
      <c r="B67" t="s">
        <v>54</v>
      </c>
      <c r="C67" t="s">
        <v>55</v>
      </c>
    </row>
    <row r="68" spans="1:3" x14ac:dyDescent="0.25">
      <c r="A68" t="str">
        <f>"17907497929198278"</f>
        <v>17907497929198278</v>
      </c>
      <c r="B68" t="s">
        <v>56</v>
      </c>
      <c r="C68" t="s">
        <v>57</v>
      </c>
    </row>
    <row r="69" spans="1:3" x14ac:dyDescent="0.25">
      <c r="A69" t="str">
        <f>"17889689782176485"</f>
        <v>17889689782176485</v>
      </c>
      <c r="B69" t="s">
        <v>54</v>
      </c>
      <c r="C69" t="s">
        <v>55</v>
      </c>
    </row>
    <row r="70" spans="1:3" x14ac:dyDescent="0.25">
      <c r="A70" t="str">
        <f>"17907497929198278"</f>
        <v>17907497929198278</v>
      </c>
      <c r="B70" t="s">
        <v>56</v>
      </c>
      <c r="C70" t="s">
        <v>57</v>
      </c>
    </row>
    <row r="71" spans="1:3" x14ac:dyDescent="0.25">
      <c r="A71" t="str">
        <f>"17889689782176485"</f>
        <v>17889689782176485</v>
      </c>
      <c r="B71" t="s">
        <v>54</v>
      </c>
      <c r="C71" t="s">
        <v>55</v>
      </c>
    </row>
    <row r="72" spans="1:3" x14ac:dyDescent="0.25">
      <c r="A72" t="str">
        <f>"17907497929198278"</f>
        <v>17907497929198278</v>
      </c>
      <c r="B72" t="s">
        <v>56</v>
      </c>
      <c r="C72" t="s">
        <v>57</v>
      </c>
    </row>
    <row r="73" spans="1:3" x14ac:dyDescent="0.25">
      <c r="A73" t="str">
        <f>"17916566680017608"</f>
        <v>17916566680017608</v>
      </c>
      <c r="B73" t="s">
        <v>58</v>
      </c>
      <c r="C73" t="s">
        <v>59</v>
      </c>
    </row>
    <row r="74" spans="1:3" x14ac:dyDescent="0.25">
      <c r="A74" t="str">
        <f>"17916566680017608"</f>
        <v>17916566680017608</v>
      </c>
      <c r="B74" t="s">
        <v>58</v>
      </c>
      <c r="C74" t="s">
        <v>59</v>
      </c>
    </row>
    <row r="75" spans="1:3" x14ac:dyDescent="0.25">
      <c r="A75" t="str">
        <f>"17916566680017608"</f>
        <v>17916566680017608</v>
      </c>
      <c r="B75" t="s">
        <v>58</v>
      </c>
      <c r="C75" t="s">
        <v>59</v>
      </c>
    </row>
    <row r="76" spans="1:3" x14ac:dyDescent="0.25">
      <c r="A76" t="str">
        <f>"17916566680017608"</f>
        <v>17916566680017608</v>
      </c>
      <c r="B76" t="s">
        <v>58</v>
      </c>
      <c r="C76" t="s">
        <v>59</v>
      </c>
    </row>
    <row r="77" spans="1:3" x14ac:dyDescent="0.25">
      <c r="A77" t="str">
        <f>"17917623475040004"</f>
        <v>17917623475040004</v>
      </c>
      <c r="B77" t="s">
        <v>60</v>
      </c>
      <c r="C77" t="s">
        <v>61</v>
      </c>
    </row>
    <row r="78" spans="1:3" x14ac:dyDescent="0.25">
      <c r="A78" t="str">
        <f>"18000407512018463"</f>
        <v>18000407512018463</v>
      </c>
      <c r="B78" t="s">
        <v>62</v>
      </c>
      <c r="C78" t="s">
        <v>63</v>
      </c>
    </row>
    <row r="79" spans="1:3" x14ac:dyDescent="0.25">
      <c r="A79" t="str">
        <f>"17917623475040004"</f>
        <v>17917623475040004</v>
      </c>
      <c r="B79" t="s">
        <v>60</v>
      </c>
      <c r="C79" t="s">
        <v>61</v>
      </c>
    </row>
    <row r="80" spans="1:3" x14ac:dyDescent="0.25">
      <c r="A80" t="str">
        <f>"18000407512018463"</f>
        <v>18000407512018463</v>
      </c>
      <c r="B80" t="s">
        <v>62</v>
      </c>
      <c r="C80" t="s">
        <v>63</v>
      </c>
    </row>
    <row r="81" spans="1:3" x14ac:dyDescent="0.25">
      <c r="A81" t="str">
        <f>"17916808978029314"</f>
        <v>17916808978029314</v>
      </c>
      <c r="B81" t="s">
        <v>64</v>
      </c>
      <c r="C81" t="s">
        <v>65</v>
      </c>
    </row>
    <row r="82" spans="1:3" x14ac:dyDescent="0.25">
      <c r="A82" t="str">
        <f>"17916808978029314"</f>
        <v>17916808978029314</v>
      </c>
      <c r="B82" t="s">
        <v>64</v>
      </c>
      <c r="C82" t="s">
        <v>65</v>
      </c>
    </row>
    <row r="83" spans="1:3" x14ac:dyDescent="0.25">
      <c r="A83" t="str">
        <f>"17916808978029314"</f>
        <v>17916808978029314</v>
      </c>
      <c r="B83" t="s">
        <v>64</v>
      </c>
      <c r="C83" t="s">
        <v>65</v>
      </c>
    </row>
    <row r="84" spans="1:3" x14ac:dyDescent="0.25">
      <c r="A84" t="str">
        <f>"17892352489135084"</f>
        <v>17892352489135084</v>
      </c>
      <c r="B84" t="s">
        <v>66</v>
      </c>
      <c r="C84" t="s">
        <v>67</v>
      </c>
    </row>
    <row r="85" spans="1:3" x14ac:dyDescent="0.25">
      <c r="A85" t="str">
        <f>"17892352489135084"</f>
        <v>17892352489135084</v>
      </c>
      <c r="B85" t="s">
        <v>66</v>
      </c>
      <c r="C85" t="s">
        <v>67</v>
      </c>
    </row>
    <row r="86" spans="1:3" x14ac:dyDescent="0.25">
      <c r="A86" t="str">
        <f>"17890822234176454"</f>
        <v>17890822234176454</v>
      </c>
      <c r="B86" t="s">
        <v>27</v>
      </c>
      <c r="C86" t="s">
        <v>68</v>
      </c>
    </row>
    <row r="87" spans="1:3" x14ac:dyDescent="0.25">
      <c r="A87" t="str">
        <f>"17890822234176454"</f>
        <v>17890822234176454</v>
      </c>
      <c r="B87" t="s">
        <v>27</v>
      </c>
      <c r="C87" t="s">
        <v>68</v>
      </c>
    </row>
    <row r="88" spans="1:3" x14ac:dyDescent="0.25">
      <c r="A88" t="str">
        <f>"17890822234176454"</f>
        <v>17890822234176454</v>
      </c>
      <c r="B88" t="s">
        <v>27</v>
      </c>
      <c r="C88" t="s">
        <v>68</v>
      </c>
    </row>
    <row r="89" spans="1:3" x14ac:dyDescent="0.25">
      <c r="A89" t="str">
        <f>"17921533654059323"</f>
        <v>17921533654059323</v>
      </c>
      <c r="B89" t="s">
        <v>69</v>
      </c>
      <c r="C89" t="s">
        <v>70</v>
      </c>
    </row>
    <row r="90" spans="1:3" x14ac:dyDescent="0.25">
      <c r="A90" t="str">
        <f>"17921533654059323"</f>
        <v>17921533654059323</v>
      </c>
      <c r="B90" t="s">
        <v>69</v>
      </c>
      <c r="C90" t="s">
        <v>70</v>
      </c>
    </row>
    <row r="91" spans="1:3" x14ac:dyDescent="0.25">
      <c r="A91" t="str">
        <f>"17903516095123350"</f>
        <v>17903516095123350</v>
      </c>
      <c r="B91" t="s">
        <v>71</v>
      </c>
      <c r="C91" t="s">
        <v>72</v>
      </c>
    </row>
    <row r="92" spans="1:3" x14ac:dyDescent="0.25">
      <c r="A92" t="str">
        <f>"17903516095123350"</f>
        <v>17903516095123350</v>
      </c>
      <c r="B92" t="s">
        <v>71</v>
      </c>
      <c r="C92" t="s">
        <v>72</v>
      </c>
    </row>
    <row r="93" spans="1:3" x14ac:dyDescent="0.25">
      <c r="A93" t="str">
        <f>"17890590862156050"</f>
        <v>17890590862156050</v>
      </c>
      <c r="B93" t="s">
        <v>73</v>
      </c>
      <c r="C93" t="s">
        <v>74</v>
      </c>
    </row>
    <row r="94" spans="1:3" x14ac:dyDescent="0.25">
      <c r="A94" t="str">
        <f>"17877614086199050"</f>
        <v>17877614086199050</v>
      </c>
      <c r="B94" t="s">
        <v>75</v>
      </c>
      <c r="C94" t="s">
        <v>76</v>
      </c>
    </row>
    <row r="95" spans="1:3" x14ac:dyDescent="0.25">
      <c r="A95" t="str">
        <f>"17890590862156050"</f>
        <v>17890590862156050</v>
      </c>
      <c r="B95" t="s">
        <v>73</v>
      </c>
      <c r="C95" t="s">
        <v>74</v>
      </c>
    </row>
    <row r="96" spans="1:3" x14ac:dyDescent="0.25">
      <c r="A96" t="str">
        <f>"17877614086199050"</f>
        <v>17877614086199050</v>
      </c>
      <c r="B96" t="s">
        <v>75</v>
      </c>
      <c r="C96" t="s">
        <v>76</v>
      </c>
    </row>
    <row r="97" spans="1:3" x14ac:dyDescent="0.25">
      <c r="A97" t="str">
        <f>"17890590862156050"</f>
        <v>17890590862156050</v>
      </c>
      <c r="B97" t="s">
        <v>73</v>
      </c>
      <c r="C97" t="s">
        <v>74</v>
      </c>
    </row>
    <row r="98" spans="1:3" x14ac:dyDescent="0.25">
      <c r="A98" t="str">
        <f>"17877614086199050"</f>
        <v>17877614086199050</v>
      </c>
      <c r="B98" t="s">
        <v>75</v>
      </c>
      <c r="C98" t="s">
        <v>76</v>
      </c>
    </row>
    <row r="99" spans="1:3" x14ac:dyDescent="0.25">
      <c r="A99" t="str">
        <f>"17869441888360073"</f>
        <v>17869441888360073</v>
      </c>
      <c r="B99" t="s">
        <v>77</v>
      </c>
      <c r="C99" t="s">
        <v>78</v>
      </c>
    </row>
    <row r="100" spans="1:3" x14ac:dyDescent="0.25">
      <c r="A100" t="str">
        <f>"18056995993011093"</f>
        <v>18056995993011093</v>
      </c>
      <c r="B100" t="s">
        <v>5</v>
      </c>
      <c r="C100" t="s">
        <v>79</v>
      </c>
    </row>
    <row r="101" spans="1:3" x14ac:dyDescent="0.25">
      <c r="A101" t="str">
        <f>"17869441888360073"</f>
        <v>17869441888360073</v>
      </c>
      <c r="B101" t="s">
        <v>77</v>
      </c>
      <c r="C101" t="s">
        <v>78</v>
      </c>
    </row>
    <row r="102" spans="1:3" x14ac:dyDescent="0.25">
      <c r="A102" t="str">
        <f>"18056995993011093"</f>
        <v>18056995993011093</v>
      </c>
      <c r="B102" t="s">
        <v>5</v>
      </c>
      <c r="C102" t="s">
        <v>79</v>
      </c>
    </row>
    <row r="103" spans="1:3" x14ac:dyDescent="0.25">
      <c r="A103" t="str">
        <f>"17914830472070194"</f>
        <v>17914830472070194</v>
      </c>
      <c r="B103" t="s">
        <v>80</v>
      </c>
      <c r="C103" t="s">
        <v>81</v>
      </c>
    </row>
    <row r="104" spans="1:3" x14ac:dyDescent="0.25">
      <c r="A104" t="str">
        <f>"17914830472070194"</f>
        <v>17914830472070194</v>
      </c>
      <c r="B104" t="s">
        <v>80</v>
      </c>
      <c r="C104" t="s">
        <v>81</v>
      </c>
    </row>
    <row r="105" spans="1:3" x14ac:dyDescent="0.25">
      <c r="A105" t="str">
        <f>"17920452286022812"</f>
        <v>17920452286022812</v>
      </c>
      <c r="B105" t="s">
        <v>37</v>
      </c>
      <c r="C105" t="s">
        <v>82</v>
      </c>
    </row>
    <row r="106" spans="1:3" x14ac:dyDescent="0.25">
      <c r="A106" t="str">
        <f>"17920452286022812"</f>
        <v>17920452286022812</v>
      </c>
      <c r="B106" t="s">
        <v>37</v>
      </c>
      <c r="C106" t="s">
        <v>82</v>
      </c>
    </row>
    <row r="107" spans="1:3" x14ac:dyDescent="0.25">
      <c r="A107" t="str">
        <f>"17920452286022812"</f>
        <v>17920452286022812</v>
      </c>
      <c r="B107" t="s">
        <v>37</v>
      </c>
      <c r="C107" t="s">
        <v>82</v>
      </c>
    </row>
    <row r="108" spans="1:3" x14ac:dyDescent="0.25">
      <c r="A108" t="str">
        <f>"17922588580047785"</f>
        <v>17922588580047785</v>
      </c>
      <c r="B108" t="s">
        <v>83</v>
      </c>
      <c r="C108" t="s">
        <v>84</v>
      </c>
    </row>
    <row r="109" spans="1:3" x14ac:dyDescent="0.25">
      <c r="A109" t="str">
        <f>"17922588580047785"</f>
        <v>17922588580047785</v>
      </c>
      <c r="B109" t="s">
        <v>83</v>
      </c>
      <c r="C109" t="s">
        <v>84</v>
      </c>
    </row>
    <row r="110" spans="1:3" x14ac:dyDescent="0.25">
      <c r="A110" t="str">
        <f>"17922588580047785"</f>
        <v>17922588580047785</v>
      </c>
      <c r="B110" t="s">
        <v>83</v>
      </c>
      <c r="C110" t="s">
        <v>84</v>
      </c>
    </row>
    <row r="111" spans="1:3" x14ac:dyDescent="0.25">
      <c r="A111" t="str">
        <f>"17904593719082458"</f>
        <v>17904593719082458</v>
      </c>
      <c r="B111" t="s">
        <v>85</v>
      </c>
      <c r="C111" t="s">
        <v>86</v>
      </c>
    </row>
    <row r="112" spans="1:3" x14ac:dyDescent="0.25">
      <c r="A112" t="str">
        <f>"17904593719082458"</f>
        <v>17904593719082458</v>
      </c>
      <c r="B112" t="s">
        <v>85</v>
      </c>
      <c r="C112" t="s">
        <v>86</v>
      </c>
    </row>
    <row r="113" spans="1:3" x14ac:dyDescent="0.25">
      <c r="A113" t="str">
        <f>"17904593719082458"</f>
        <v>17904593719082458</v>
      </c>
      <c r="B113" t="s">
        <v>85</v>
      </c>
      <c r="C113" t="s">
        <v>86</v>
      </c>
    </row>
    <row r="114" spans="1:3" x14ac:dyDescent="0.25">
      <c r="A114" t="str">
        <f>"17916569440130379"</f>
        <v>17916569440130379</v>
      </c>
      <c r="B114" t="s">
        <v>87</v>
      </c>
      <c r="C114" t="s">
        <v>88</v>
      </c>
    </row>
    <row r="115" spans="1:3" x14ac:dyDescent="0.25">
      <c r="A115" t="str">
        <f>"17916569440130379"</f>
        <v>17916569440130379</v>
      </c>
      <c r="B115" t="s">
        <v>87</v>
      </c>
      <c r="C115" t="s">
        <v>88</v>
      </c>
    </row>
    <row r="116" spans="1:3" x14ac:dyDescent="0.25">
      <c r="A116" t="str">
        <f>"17916569440130379"</f>
        <v>17916569440130379</v>
      </c>
      <c r="B116" t="s">
        <v>87</v>
      </c>
      <c r="C116" t="s">
        <v>88</v>
      </c>
    </row>
    <row r="117" spans="1:3" x14ac:dyDescent="0.25">
      <c r="A117" t="str">
        <f>"17892480361158664"</f>
        <v>17892480361158664</v>
      </c>
      <c r="B117" t="s">
        <v>27</v>
      </c>
      <c r="C117" t="s">
        <v>89</v>
      </c>
    </row>
    <row r="118" spans="1:3" x14ac:dyDescent="0.25">
      <c r="A118" t="str">
        <f>"17920454791030673"</f>
        <v>17920454791030673</v>
      </c>
      <c r="B118" t="s">
        <v>90</v>
      </c>
      <c r="C118" t="s">
        <v>91</v>
      </c>
    </row>
    <row r="119" spans="1:3" x14ac:dyDescent="0.25">
      <c r="A119" t="str">
        <f>"17902419466087867"</f>
        <v>17902419466087867</v>
      </c>
      <c r="B119" t="s">
        <v>92</v>
      </c>
      <c r="C119" t="s">
        <v>93</v>
      </c>
    </row>
    <row r="120" spans="1:3" x14ac:dyDescent="0.25">
      <c r="A120" t="str">
        <f>"17861419936204379"</f>
        <v>17861419936204379</v>
      </c>
      <c r="B120" t="s">
        <v>94</v>
      </c>
      <c r="C120" t="s">
        <v>95</v>
      </c>
    </row>
    <row r="121" spans="1:3" x14ac:dyDescent="0.25">
      <c r="A121" t="str">
        <f>"17892480361158664"</f>
        <v>17892480361158664</v>
      </c>
      <c r="B121" t="s">
        <v>27</v>
      </c>
      <c r="C121" t="s">
        <v>89</v>
      </c>
    </row>
    <row r="122" spans="1:3" x14ac:dyDescent="0.25">
      <c r="A122" t="str">
        <f>"17920454791030673"</f>
        <v>17920454791030673</v>
      </c>
      <c r="B122" t="s">
        <v>90</v>
      </c>
      <c r="C122" t="s">
        <v>91</v>
      </c>
    </row>
    <row r="123" spans="1:3" x14ac:dyDescent="0.25">
      <c r="A123" t="str">
        <f>"17902419466087867"</f>
        <v>17902419466087867</v>
      </c>
      <c r="B123" t="s">
        <v>92</v>
      </c>
      <c r="C123" t="s">
        <v>93</v>
      </c>
    </row>
    <row r="124" spans="1:3" x14ac:dyDescent="0.25">
      <c r="A124" t="str">
        <f>"17861419936204379"</f>
        <v>17861419936204379</v>
      </c>
      <c r="B124" t="s">
        <v>94</v>
      </c>
      <c r="C124" t="s">
        <v>95</v>
      </c>
    </row>
    <row r="125" spans="1:3" x14ac:dyDescent="0.25">
      <c r="A125" t="str">
        <f>"17892480361158664"</f>
        <v>17892480361158664</v>
      </c>
      <c r="B125" t="s">
        <v>27</v>
      </c>
      <c r="C125" t="s">
        <v>89</v>
      </c>
    </row>
    <row r="126" spans="1:3" x14ac:dyDescent="0.25">
      <c r="A126" t="str">
        <f>"17920454791030673"</f>
        <v>17920454791030673</v>
      </c>
      <c r="B126" t="s">
        <v>90</v>
      </c>
      <c r="C126" t="s">
        <v>91</v>
      </c>
    </row>
    <row r="127" spans="1:3" x14ac:dyDescent="0.25">
      <c r="A127" t="str">
        <f>"17902419466087867"</f>
        <v>17902419466087867</v>
      </c>
      <c r="B127" t="s">
        <v>92</v>
      </c>
      <c r="C127" t="s">
        <v>93</v>
      </c>
    </row>
    <row r="128" spans="1:3" x14ac:dyDescent="0.25">
      <c r="A128" t="str">
        <f>"17861419936204379"</f>
        <v>17861419936204379</v>
      </c>
      <c r="B128" t="s">
        <v>94</v>
      </c>
      <c r="C128" t="s">
        <v>95</v>
      </c>
    </row>
    <row r="129" spans="1:3" x14ac:dyDescent="0.25">
      <c r="A129" t="str">
        <f>"17892480361158664"</f>
        <v>17892480361158664</v>
      </c>
      <c r="B129" t="s">
        <v>27</v>
      </c>
      <c r="C129" t="s">
        <v>89</v>
      </c>
    </row>
    <row r="130" spans="1:3" x14ac:dyDescent="0.25">
      <c r="A130" t="str">
        <f>"17920454791030673"</f>
        <v>17920454791030673</v>
      </c>
      <c r="B130" t="s">
        <v>90</v>
      </c>
      <c r="C130" t="s">
        <v>91</v>
      </c>
    </row>
    <row r="131" spans="1:3" x14ac:dyDescent="0.25">
      <c r="A131" t="str">
        <f>"17902419466087867"</f>
        <v>17902419466087867</v>
      </c>
      <c r="B131" t="s">
        <v>92</v>
      </c>
      <c r="C131" t="s">
        <v>93</v>
      </c>
    </row>
    <row r="132" spans="1:3" x14ac:dyDescent="0.25">
      <c r="A132" t="str">
        <f>"17861419936204379"</f>
        <v>17861419936204379</v>
      </c>
      <c r="B132" t="s">
        <v>94</v>
      </c>
      <c r="C132" t="s">
        <v>95</v>
      </c>
    </row>
    <row r="133" spans="1:3" x14ac:dyDescent="0.25">
      <c r="A133" t="str">
        <f>"17892480361158664"</f>
        <v>17892480361158664</v>
      </c>
      <c r="B133" t="s">
        <v>27</v>
      </c>
      <c r="C133" t="s">
        <v>89</v>
      </c>
    </row>
    <row r="134" spans="1:3" x14ac:dyDescent="0.25">
      <c r="A134" t="str">
        <f>"17920454791030673"</f>
        <v>17920454791030673</v>
      </c>
      <c r="B134" t="s">
        <v>90</v>
      </c>
      <c r="C134" t="s">
        <v>91</v>
      </c>
    </row>
    <row r="135" spans="1:3" x14ac:dyDescent="0.25">
      <c r="A135" t="str">
        <f>"17902419466087867"</f>
        <v>17902419466087867</v>
      </c>
      <c r="B135" t="s">
        <v>92</v>
      </c>
      <c r="C135" t="s">
        <v>93</v>
      </c>
    </row>
    <row r="136" spans="1:3" x14ac:dyDescent="0.25">
      <c r="A136" t="str">
        <f>"17861419936204379"</f>
        <v>17861419936204379</v>
      </c>
      <c r="B136" t="s">
        <v>94</v>
      </c>
      <c r="C136" t="s">
        <v>95</v>
      </c>
    </row>
    <row r="137" spans="1:3" x14ac:dyDescent="0.25">
      <c r="A137" t="str">
        <f>"17907364057114970"</f>
        <v>17907364057114970</v>
      </c>
      <c r="B137" t="s">
        <v>96</v>
      </c>
      <c r="C137" t="s">
        <v>97</v>
      </c>
    </row>
    <row r="138" spans="1:3" x14ac:dyDescent="0.25">
      <c r="A138" t="str">
        <f>"17908762801098856"</f>
        <v>17908762801098856</v>
      </c>
      <c r="B138" t="s">
        <v>98</v>
      </c>
      <c r="C138" t="s">
        <v>99</v>
      </c>
    </row>
    <row r="139" spans="1:3" x14ac:dyDescent="0.25">
      <c r="A139" t="str">
        <f>"17907364057114970"</f>
        <v>17907364057114970</v>
      </c>
      <c r="B139" t="s">
        <v>96</v>
      </c>
      <c r="C139" t="s">
        <v>97</v>
      </c>
    </row>
    <row r="140" spans="1:3" x14ac:dyDescent="0.25">
      <c r="A140" t="str">
        <f>"17908762801098856"</f>
        <v>17908762801098856</v>
      </c>
      <c r="B140" t="s">
        <v>98</v>
      </c>
      <c r="C140" t="s">
        <v>99</v>
      </c>
    </row>
    <row r="141" spans="1:3" x14ac:dyDescent="0.25">
      <c r="A141" t="str">
        <f>"17907364057114970"</f>
        <v>17907364057114970</v>
      </c>
      <c r="B141" t="s">
        <v>96</v>
      </c>
      <c r="C141" t="s">
        <v>97</v>
      </c>
    </row>
    <row r="142" spans="1:3" x14ac:dyDescent="0.25">
      <c r="A142" t="str">
        <f>"17908762801098856"</f>
        <v>17908762801098856</v>
      </c>
      <c r="B142" t="s">
        <v>98</v>
      </c>
      <c r="C142" t="s">
        <v>99</v>
      </c>
    </row>
    <row r="143" spans="1:3" x14ac:dyDescent="0.25">
      <c r="A143" t="str">
        <f>"17919870481074603"</f>
        <v>17919870481074603</v>
      </c>
      <c r="B143" t="s">
        <v>100</v>
      </c>
      <c r="C143" t="s">
        <v>101</v>
      </c>
    </row>
    <row r="144" spans="1:3" x14ac:dyDescent="0.25">
      <c r="A144" t="str">
        <f>"17919870481074603"</f>
        <v>17919870481074603</v>
      </c>
      <c r="B144" t="s">
        <v>100</v>
      </c>
      <c r="C144" t="s">
        <v>101</v>
      </c>
    </row>
    <row r="145" spans="1:3" x14ac:dyDescent="0.25">
      <c r="A145" t="str">
        <f>"17919870481074603"</f>
        <v>17919870481074603</v>
      </c>
      <c r="B145" t="s">
        <v>100</v>
      </c>
      <c r="C145" t="s">
        <v>101</v>
      </c>
    </row>
    <row r="146" spans="1:3" x14ac:dyDescent="0.25">
      <c r="A146" t="str">
        <f>"17930542252012288"</f>
        <v>17930542252012288</v>
      </c>
      <c r="B146" t="s">
        <v>102</v>
      </c>
      <c r="C146" t="s">
        <v>103</v>
      </c>
    </row>
    <row r="147" spans="1:3" x14ac:dyDescent="0.25">
      <c r="A147" t="str">
        <f>"17930542252012288"</f>
        <v>17930542252012288</v>
      </c>
      <c r="B147" t="s">
        <v>102</v>
      </c>
      <c r="C147" t="s">
        <v>103</v>
      </c>
    </row>
    <row r="148" spans="1:3" x14ac:dyDescent="0.25">
      <c r="A148" t="str">
        <f>"17895614179174155"</f>
        <v>17895614179174155</v>
      </c>
      <c r="B148" t="s">
        <v>104</v>
      </c>
      <c r="C148" t="s">
        <v>105</v>
      </c>
    </row>
    <row r="149" spans="1:3" x14ac:dyDescent="0.25">
      <c r="A149" t="str">
        <f>"17895614179174155"</f>
        <v>17895614179174155</v>
      </c>
      <c r="B149" t="s">
        <v>104</v>
      </c>
      <c r="C149" t="s">
        <v>105</v>
      </c>
    </row>
    <row r="150" spans="1:3" x14ac:dyDescent="0.25">
      <c r="A150" t="str">
        <f>"17930224882042281"</f>
        <v>17930224882042281</v>
      </c>
      <c r="B150" t="s">
        <v>106</v>
      </c>
      <c r="C150" t="s">
        <v>107</v>
      </c>
    </row>
    <row r="151" spans="1:3" x14ac:dyDescent="0.25">
      <c r="A151" t="str">
        <f>"17930224882042281"</f>
        <v>17930224882042281</v>
      </c>
      <c r="B151" t="s">
        <v>106</v>
      </c>
      <c r="C151" t="s">
        <v>107</v>
      </c>
    </row>
    <row r="152" spans="1:3" x14ac:dyDescent="0.25">
      <c r="A152" t="str">
        <f>"17930224882042281"</f>
        <v>17930224882042281</v>
      </c>
      <c r="B152" t="s">
        <v>106</v>
      </c>
      <c r="C152" t="s">
        <v>107</v>
      </c>
    </row>
    <row r="153" spans="1:3" x14ac:dyDescent="0.25">
      <c r="A153" t="str">
        <f>"17909097217087956"</f>
        <v>17909097217087956</v>
      </c>
      <c r="B153" t="s">
        <v>108</v>
      </c>
      <c r="C153" t="s">
        <v>109</v>
      </c>
    </row>
    <row r="154" spans="1:3" x14ac:dyDescent="0.25">
      <c r="A154" t="str">
        <f>"17909097217087956"</f>
        <v>17909097217087956</v>
      </c>
      <c r="B154" t="s">
        <v>108</v>
      </c>
      <c r="C154" t="s">
        <v>109</v>
      </c>
    </row>
    <row r="155" spans="1:3" x14ac:dyDescent="0.25">
      <c r="A155" t="str">
        <f>"17899990354170775"</f>
        <v>17899990354170775</v>
      </c>
      <c r="B155" t="s">
        <v>110</v>
      </c>
      <c r="C155" t="s">
        <v>111</v>
      </c>
    </row>
    <row r="156" spans="1:3" x14ac:dyDescent="0.25">
      <c r="A156" t="str">
        <f>"17899990354170775"</f>
        <v>17899990354170775</v>
      </c>
      <c r="B156" t="s">
        <v>110</v>
      </c>
      <c r="C156" t="s">
        <v>111</v>
      </c>
    </row>
    <row r="157" spans="1:3" x14ac:dyDescent="0.25">
      <c r="A157" t="str">
        <f>"17863293295238471"</f>
        <v>17863293295238471</v>
      </c>
      <c r="B157" t="s">
        <v>112</v>
      </c>
      <c r="C157" t="s">
        <v>113</v>
      </c>
    </row>
    <row r="158" spans="1:3" x14ac:dyDescent="0.25">
      <c r="A158" t="str">
        <f>"17863293295238471"</f>
        <v>17863293295238471</v>
      </c>
      <c r="B158" t="s">
        <v>112</v>
      </c>
      <c r="C158" t="s">
        <v>113</v>
      </c>
    </row>
    <row r="159" spans="1:3" x14ac:dyDescent="0.25">
      <c r="A159" t="str">
        <f>"17906429203132442"</f>
        <v>17906429203132442</v>
      </c>
      <c r="B159" t="s">
        <v>114</v>
      </c>
      <c r="C159" t="s">
        <v>115</v>
      </c>
    </row>
    <row r="160" spans="1:3" x14ac:dyDescent="0.25">
      <c r="A160" t="str">
        <f>"17871472243222185"</f>
        <v>17871472243222185</v>
      </c>
      <c r="B160" t="s">
        <v>116</v>
      </c>
      <c r="C160" t="s">
        <v>117</v>
      </c>
    </row>
    <row r="161" spans="1:3" x14ac:dyDescent="0.25">
      <c r="A161" t="str">
        <f>"17906429203132442"</f>
        <v>17906429203132442</v>
      </c>
      <c r="B161" t="s">
        <v>114</v>
      </c>
      <c r="C161" t="s">
        <v>115</v>
      </c>
    </row>
    <row r="162" spans="1:3" x14ac:dyDescent="0.25">
      <c r="A162" t="str">
        <f>"17871472243222185"</f>
        <v>17871472243222185</v>
      </c>
      <c r="B162" t="s">
        <v>116</v>
      </c>
      <c r="C162" t="s">
        <v>117</v>
      </c>
    </row>
    <row r="163" spans="1:3" x14ac:dyDescent="0.25">
      <c r="A163" t="str">
        <f>"17930267824016504"</f>
        <v>17930267824016504</v>
      </c>
      <c r="B163" t="s">
        <v>118</v>
      </c>
      <c r="C163" t="s">
        <v>119</v>
      </c>
    </row>
    <row r="164" spans="1:3" x14ac:dyDescent="0.25">
      <c r="A164" t="str">
        <f>"17985678709211565"</f>
        <v>17985678709211565</v>
      </c>
      <c r="B164" t="s">
        <v>120</v>
      </c>
      <c r="C164" t="s">
        <v>121</v>
      </c>
    </row>
    <row r="165" spans="1:3" x14ac:dyDescent="0.25">
      <c r="A165" t="str">
        <f>"17900672599198663"</f>
        <v>17900672599198663</v>
      </c>
      <c r="B165" t="s">
        <v>122</v>
      </c>
      <c r="C165" t="s">
        <v>123</v>
      </c>
    </row>
    <row r="166" spans="1:3" x14ac:dyDescent="0.25">
      <c r="A166" t="str">
        <f>"17900672599198663"</f>
        <v>17900672599198663</v>
      </c>
      <c r="B166" t="s">
        <v>122</v>
      </c>
      <c r="C166" t="s">
        <v>123</v>
      </c>
    </row>
    <row r="167" spans="1:3" x14ac:dyDescent="0.25">
      <c r="A167" t="str">
        <f>"17909406793133190"</f>
        <v>17909406793133190</v>
      </c>
      <c r="B167" t="s">
        <v>124</v>
      </c>
      <c r="C167" t="s">
        <v>125</v>
      </c>
    </row>
    <row r="168" spans="1:3" x14ac:dyDescent="0.25">
      <c r="A168" t="str">
        <f>"17909406793133190"</f>
        <v>17909406793133190</v>
      </c>
      <c r="B168" t="s">
        <v>124</v>
      </c>
      <c r="C168" t="s">
        <v>125</v>
      </c>
    </row>
    <row r="169" spans="1:3" x14ac:dyDescent="0.25">
      <c r="A169" t="str">
        <f>"17911580839184674"</f>
        <v>17911580839184674</v>
      </c>
      <c r="B169" t="s">
        <v>126</v>
      </c>
      <c r="C169" t="s">
        <v>127</v>
      </c>
    </row>
    <row r="170" spans="1:3" x14ac:dyDescent="0.25">
      <c r="A170" t="str">
        <f>"17911580839184674"</f>
        <v>17911580839184674</v>
      </c>
      <c r="B170" t="s">
        <v>126</v>
      </c>
      <c r="C170" t="s">
        <v>127</v>
      </c>
    </row>
    <row r="171" spans="1:3" x14ac:dyDescent="0.25">
      <c r="A171" t="str">
        <f>"17911580839184674"</f>
        <v>17911580839184674</v>
      </c>
      <c r="B171" t="s">
        <v>126</v>
      </c>
      <c r="C171" t="s">
        <v>127</v>
      </c>
    </row>
    <row r="172" spans="1:3" x14ac:dyDescent="0.25">
      <c r="A172" t="str">
        <f>"17906698714166951"</f>
        <v>17906698714166951</v>
      </c>
      <c r="B172" t="s">
        <v>128</v>
      </c>
      <c r="C172" t="s">
        <v>129</v>
      </c>
    </row>
    <row r="173" spans="1:3" x14ac:dyDescent="0.25">
      <c r="A173" t="str">
        <f>"17863688044236852"</f>
        <v>17863688044236852</v>
      </c>
      <c r="B173" t="s">
        <v>130</v>
      </c>
      <c r="C173" t="s">
        <v>131</v>
      </c>
    </row>
    <row r="174" spans="1:3" x14ac:dyDescent="0.25">
      <c r="A174" t="str">
        <f>"17906698714166951"</f>
        <v>17906698714166951</v>
      </c>
      <c r="B174" t="s">
        <v>128</v>
      </c>
      <c r="C174" t="s">
        <v>129</v>
      </c>
    </row>
    <row r="175" spans="1:3" x14ac:dyDescent="0.25">
      <c r="A175" t="str">
        <f>"17863688044236852"</f>
        <v>17863688044236852</v>
      </c>
      <c r="B175" t="s">
        <v>130</v>
      </c>
      <c r="C175" t="s">
        <v>131</v>
      </c>
    </row>
    <row r="176" spans="1:3" x14ac:dyDescent="0.25">
      <c r="A176" t="str">
        <f>"17906698714166951"</f>
        <v>17906698714166951</v>
      </c>
      <c r="B176" t="s">
        <v>128</v>
      </c>
      <c r="C176" t="s">
        <v>129</v>
      </c>
    </row>
    <row r="177" spans="1:3" x14ac:dyDescent="0.25">
      <c r="A177" t="str">
        <f>"17863688044236852"</f>
        <v>17863688044236852</v>
      </c>
      <c r="B177" t="s">
        <v>130</v>
      </c>
      <c r="C177" t="s">
        <v>131</v>
      </c>
    </row>
    <row r="178" spans="1:3" x14ac:dyDescent="0.25">
      <c r="A178" t="str">
        <f>"17906698714166951"</f>
        <v>17906698714166951</v>
      </c>
      <c r="B178" t="s">
        <v>128</v>
      </c>
      <c r="C178" t="s">
        <v>129</v>
      </c>
    </row>
    <row r="179" spans="1:3" x14ac:dyDescent="0.25">
      <c r="A179" t="str">
        <f>"17863688044236852"</f>
        <v>17863688044236852</v>
      </c>
      <c r="B179" t="s">
        <v>130</v>
      </c>
      <c r="C179" t="s">
        <v>131</v>
      </c>
    </row>
    <row r="180" spans="1:3" x14ac:dyDescent="0.25">
      <c r="A180" t="str">
        <f>"17876083900222493"</f>
        <v>17876083900222493</v>
      </c>
      <c r="B180" t="s">
        <v>132</v>
      </c>
      <c r="C180" t="s">
        <v>133</v>
      </c>
    </row>
    <row r="181" spans="1:3" x14ac:dyDescent="0.25">
      <c r="A181" t="str">
        <f>"17908101982158829"</f>
        <v>17908101982158829</v>
      </c>
      <c r="B181" t="s">
        <v>134</v>
      </c>
      <c r="C181" t="s">
        <v>135</v>
      </c>
    </row>
    <row r="182" spans="1:3" x14ac:dyDescent="0.25">
      <c r="A182" t="str">
        <f>"17876083900222493"</f>
        <v>17876083900222493</v>
      </c>
      <c r="B182" t="s">
        <v>132</v>
      </c>
      <c r="C182" t="s">
        <v>133</v>
      </c>
    </row>
    <row r="183" spans="1:3" x14ac:dyDescent="0.25">
      <c r="A183" t="str">
        <f>"17908101982158829"</f>
        <v>17908101982158829</v>
      </c>
      <c r="B183" t="s">
        <v>134</v>
      </c>
      <c r="C183" t="s">
        <v>135</v>
      </c>
    </row>
    <row r="184" spans="1:3" x14ac:dyDescent="0.25">
      <c r="A184" t="str">
        <f>"17848608100254752"</f>
        <v>17848608100254752</v>
      </c>
      <c r="B184" t="s">
        <v>136</v>
      </c>
      <c r="C184" t="s">
        <v>137</v>
      </c>
    </row>
    <row r="185" spans="1:3" x14ac:dyDescent="0.25">
      <c r="A185" t="str">
        <f>"17865834454237866"</f>
        <v>17865834454237866</v>
      </c>
      <c r="B185" t="s">
        <v>138</v>
      </c>
      <c r="C185" t="s">
        <v>139</v>
      </c>
    </row>
    <row r="186" spans="1:3" x14ac:dyDescent="0.25">
      <c r="A186" t="str">
        <f>"17848608100254752"</f>
        <v>17848608100254752</v>
      </c>
      <c r="B186" t="s">
        <v>136</v>
      </c>
      <c r="C186" t="s">
        <v>137</v>
      </c>
    </row>
    <row r="187" spans="1:3" x14ac:dyDescent="0.25">
      <c r="A187" t="str">
        <f>"17865834454237866"</f>
        <v>17865834454237866</v>
      </c>
      <c r="B187" t="s">
        <v>138</v>
      </c>
      <c r="C187" t="s">
        <v>139</v>
      </c>
    </row>
    <row r="188" spans="1:3" x14ac:dyDescent="0.25">
      <c r="A188" t="str">
        <f>"17947184797015432"</f>
        <v>17947184797015432</v>
      </c>
      <c r="B188" t="s">
        <v>140</v>
      </c>
      <c r="C188" t="s">
        <v>141</v>
      </c>
    </row>
    <row r="189" spans="1:3" x14ac:dyDescent="0.25">
      <c r="A189" t="str">
        <f>"17947184797015432"</f>
        <v>17947184797015432</v>
      </c>
      <c r="B189" t="s">
        <v>140</v>
      </c>
      <c r="C189" t="s">
        <v>141</v>
      </c>
    </row>
    <row r="190" spans="1:3" x14ac:dyDescent="0.25">
      <c r="A190" t="str">
        <f>"17951984395011992"</f>
        <v>17951984395011992</v>
      </c>
      <c r="B190" t="s">
        <v>142</v>
      </c>
      <c r="C190" t="s">
        <v>143</v>
      </c>
    </row>
    <row r="191" spans="1:3" x14ac:dyDescent="0.25">
      <c r="A191" t="str">
        <f>"17951984395011992"</f>
        <v>17951984395011992</v>
      </c>
      <c r="B191" t="s">
        <v>142</v>
      </c>
      <c r="C191" t="s">
        <v>143</v>
      </c>
    </row>
    <row r="192" spans="1:3" x14ac:dyDescent="0.25">
      <c r="A192" t="str">
        <f>"17942883880013633"</f>
        <v>17942883880013633</v>
      </c>
      <c r="B192" t="s">
        <v>144</v>
      </c>
      <c r="C192" t="s">
        <v>145</v>
      </c>
    </row>
    <row r="193" spans="1:3" x14ac:dyDescent="0.25">
      <c r="A193" t="str">
        <f>"17945807476058737"</f>
        <v>17945807476058737</v>
      </c>
      <c r="B193" t="s">
        <v>146</v>
      </c>
      <c r="C193" t="s">
        <v>147</v>
      </c>
    </row>
    <row r="194" spans="1:3" x14ac:dyDescent="0.25">
      <c r="A194" t="str">
        <f>"17945807476058737"</f>
        <v>17945807476058737</v>
      </c>
      <c r="B194" t="s">
        <v>146</v>
      </c>
      <c r="C194" t="s">
        <v>147</v>
      </c>
    </row>
    <row r="195" spans="1:3" x14ac:dyDescent="0.25">
      <c r="A195" t="str">
        <f>"17851982005098126"</f>
        <v>17851982005098126</v>
      </c>
      <c r="B195" t="s">
        <v>148</v>
      </c>
      <c r="C195" t="s">
        <v>149</v>
      </c>
    </row>
    <row r="196" spans="1:3" x14ac:dyDescent="0.25">
      <c r="A196" t="str">
        <f>"17852040109098126"</f>
        <v>17852040109098126</v>
      </c>
      <c r="B196" t="s">
        <v>150</v>
      </c>
      <c r="C196" t="s">
        <v>151</v>
      </c>
    </row>
    <row r="197" spans="1:3" x14ac:dyDescent="0.25">
      <c r="A197" t="str">
        <f>"17851982005098126"</f>
        <v>17851982005098126</v>
      </c>
      <c r="B197" t="s">
        <v>148</v>
      </c>
      <c r="C197" t="s">
        <v>149</v>
      </c>
    </row>
    <row r="198" spans="1:3" x14ac:dyDescent="0.25">
      <c r="A198" t="str">
        <f>"17852040109098126"</f>
        <v>17852040109098126</v>
      </c>
      <c r="B198" t="s">
        <v>150</v>
      </c>
      <c r="C198" t="s">
        <v>151</v>
      </c>
    </row>
    <row r="199" spans="1:3" x14ac:dyDescent="0.25">
      <c r="A199" t="str">
        <f>"17862045100057117"</f>
        <v>17862045100057117</v>
      </c>
      <c r="B199" t="s">
        <v>80</v>
      </c>
      <c r="C199" t="s">
        <v>152</v>
      </c>
    </row>
    <row r="200" spans="1:3" x14ac:dyDescent="0.25">
      <c r="A200" t="str">
        <f>"17862058579057117"</f>
        <v>17862058579057117</v>
      </c>
      <c r="B200" t="s">
        <v>153</v>
      </c>
      <c r="C200" t="s">
        <v>154</v>
      </c>
    </row>
    <row r="201" spans="1:3" x14ac:dyDescent="0.25">
      <c r="A201" t="str">
        <f>"17862045100057117"</f>
        <v>17862045100057117</v>
      </c>
      <c r="B201" t="s">
        <v>80</v>
      </c>
      <c r="C201" t="s">
        <v>152</v>
      </c>
    </row>
    <row r="202" spans="1:3" x14ac:dyDescent="0.25">
      <c r="A202" t="str">
        <f>"17862058579057117"</f>
        <v>17862058579057117</v>
      </c>
      <c r="B202" t="s">
        <v>153</v>
      </c>
      <c r="C202" t="s">
        <v>154</v>
      </c>
    </row>
    <row r="203" spans="1:3" x14ac:dyDescent="0.25">
      <c r="A203" t="str">
        <f>"17861128039035126"</f>
        <v>17861128039035126</v>
      </c>
      <c r="B203" t="s">
        <v>155</v>
      </c>
      <c r="C203" t="s">
        <v>156</v>
      </c>
    </row>
    <row r="204" spans="1:3" x14ac:dyDescent="0.25">
      <c r="A204" t="str">
        <f>"17861139595035126"</f>
        <v>17861139595035126</v>
      </c>
      <c r="B204" t="s">
        <v>157</v>
      </c>
      <c r="C204" t="s">
        <v>158</v>
      </c>
    </row>
    <row r="205" spans="1:3" x14ac:dyDescent="0.25">
      <c r="A205" t="str">
        <f>"17861128039035126"</f>
        <v>17861128039035126</v>
      </c>
      <c r="B205" t="s">
        <v>155</v>
      </c>
      <c r="C205" t="s">
        <v>156</v>
      </c>
    </row>
    <row r="206" spans="1:3" x14ac:dyDescent="0.25">
      <c r="A206" t="str">
        <f>"17861139595035126"</f>
        <v>17861139595035126</v>
      </c>
      <c r="B206" t="s">
        <v>157</v>
      </c>
      <c r="C206" t="s">
        <v>158</v>
      </c>
    </row>
    <row r="207" spans="1:3" x14ac:dyDescent="0.25">
      <c r="A207" t="str">
        <f>"17851896211098858"</f>
        <v>17851896211098858</v>
      </c>
      <c r="B207" t="s">
        <v>159</v>
      </c>
      <c r="C207" t="s">
        <v>160</v>
      </c>
    </row>
    <row r="208" spans="1:3" x14ac:dyDescent="0.25">
      <c r="A208" t="str">
        <f>"17851896211098858"</f>
        <v>17851896211098858</v>
      </c>
      <c r="B208" t="s">
        <v>159</v>
      </c>
      <c r="C208" t="s">
        <v>160</v>
      </c>
    </row>
    <row r="209" spans="1:3" x14ac:dyDescent="0.25">
      <c r="A209" t="str">
        <f>"17855632240070159"</f>
        <v>17855632240070159</v>
      </c>
      <c r="B209" t="s">
        <v>161</v>
      </c>
      <c r="C209" t="s">
        <v>162</v>
      </c>
    </row>
    <row r="210" spans="1:3" x14ac:dyDescent="0.25">
      <c r="A210" t="str">
        <f>"17855632621070159"</f>
        <v>17855632621070159</v>
      </c>
      <c r="B210" t="s">
        <v>163</v>
      </c>
      <c r="C210" t="s">
        <v>164</v>
      </c>
    </row>
    <row r="211" spans="1:3" x14ac:dyDescent="0.25">
      <c r="A211" t="str">
        <f>"17855632705070159"</f>
        <v>17855632705070159</v>
      </c>
      <c r="B211" t="s">
        <v>165</v>
      </c>
      <c r="C211" t="s">
        <v>166</v>
      </c>
    </row>
    <row r="212" spans="1:3" x14ac:dyDescent="0.25">
      <c r="A212" t="str">
        <f>"17855632240070159"</f>
        <v>17855632240070159</v>
      </c>
      <c r="B212" t="s">
        <v>161</v>
      </c>
      <c r="C212" t="s">
        <v>162</v>
      </c>
    </row>
    <row r="213" spans="1:3" x14ac:dyDescent="0.25">
      <c r="A213" t="str">
        <f>"17855632621070159"</f>
        <v>17855632621070159</v>
      </c>
      <c r="B213" t="s">
        <v>163</v>
      </c>
      <c r="C213" t="s">
        <v>164</v>
      </c>
    </row>
    <row r="214" spans="1:3" x14ac:dyDescent="0.25">
      <c r="A214" t="str">
        <f>"17855632705070159"</f>
        <v>17855632705070159</v>
      </c>
      <c r="B214" t="s">
        <v>165</v>
      </c>
      <c r="C214" t="s">
        <v>166</v>
      </c>
    </row>
    <row r="215" spans="1:3" x14ac:dyDescent="0.25">
      <c r="A215" t="str">
        <f>"17855632240070159"</f>
        <v>17855632240070159</v>
      </c>
      <c r="B215" t="s">
        <v>161</v>
      </c>
      <c r="C215" t="s">
        <v>162</v>
      </c>
    </row>
    <row r="216" spans="1:3" x14ac:dyDescent="0.25">
      <c r="A216" t="str">
        <f>"17855632621070159"</f>
        <v>17855632621070159</v>
      </c>
      <c r="B216" t="s">
        <v>163</v>
      </c>
      <c r="C216" t="s">
        <v>164</v>
      </c>
    </row>
    <row r="217" spans="1:3" x14ac:dyDescent="0.25">
      <c r="A217" t="str">
        <f>"17855632705070159"</f>
        <v>17855632705070159</v>
      </c>
      <c r="B217" t="s">
        <v>165</v>
      </c>
      <c r="C217" t="s">
        <v>166</v>
      </c>
    </row>
    <row r="218" spans="1:3" x14ac:dyDescent="0.25">
      <c r="A218" t="str">
        <f>"17851868758120169"</f>
        <v>17851868758120169</v>
      </c>
      <c r="B218" t="s">
        <v>167</v>
      </c>
      <c r="C218" t="s">
        <v>168</v>
      </c>
    </row>
    <row r="219" spans="1:3" x14ac:dyDescent="0.25">
      <c r="A219" t="str">
        <f>"17851880488120169"</f>
        <v>17851880488120169</v>
      </c>
      <c r="B219" t="s">
        <v>169</v>
      </c>
      <c r="C219" t="s">
        <v>170</v>
      </c>
    </row>
    <row r="220" spans="1:3" x14ac:dyDescent="0.25">
      <c r="A220" t="str">
        <f>"17851868758120169"</f>
        <v>17851868758120169</v>
      </c>
      <c r="B220" t="s">
        <v>167</v>
      </c>
      <c r="C220" t="s">
        <v>168</v>
      </c>
    </row>
    <row r="221" spans="1:3" x14ac:dyDescent="0.25">
      <c r="A221" t="str">
        <f>"17851880488120169"</f>
        <v>17851880488120169</v>
      </c>
      <c r="B221" t="s">
        <v>169</v>
      </c>
      <c r="C221" t="s">
        <v>170</v>
      </c>
    </row>
    <row r="222" spans="1:3" x14ac:dyDescent="0.25">
      <c r="A222" t="str">
        <f>"17944372960079363"</f>
        <v>17944372960079363</v>
      </c>
      <c r="B222" t="s">
        <v>171</v>
      </c>
      <c r="C222" t="s">
        <v>172</v>
      </c>
    </row>
    <row r="223" spans="1:3" x14ac:dyDescent="0.25">
      <c r="A223" t="str">
        <f>"17944372960079363"</f>
        <v>17944372960079363</v>
      </c>
      <c r="B223" t="s">
        <v>171</v>
      </c>
      <c r="C223" t="s">
        <v>172</v>
      </c>
    </row>
    <row r="224" spans="1:3" x14ac:dyDescent="0.25">
      <c r="A224" t="str">
        <f>"17860221004019337"</f>
        <v>17860221004019337</v>
      </c>
      <c r="B224" t="s">
        <v>173</v>
      </c>
      <c r="C224" t="s">
        <v>174</v>
      </c>
    </row>
    <row r="225" spans="1:3" x14ac:dyDescent="0.25">
      <c r="A225" t="str">
        <f>"17860264270019337"</f>
        <v>17860264270019337</v>
      </c>
      <c r="B225" t="s">
        <v>175</v>
      </c>
      <c r="C225" t="s">
        <v>176</v>
      </c>
    </row>
    <row r="226" spans="1:3" x14ac:dyDescent="0.25">
      <c r="A226" t="str">
        <f>"17860221004019337"</f>
        <v>17860221004019337</v>
      </c>
      <c r="B226" t="s">
        <v>173</v>
      </c>
      <c r="C226" t="s">
        <v>174</v>
      </c>
    </row>
    <row r="227" spans="1:3" x14ac:dyDescent="0.25">
      <c r="A227" t="str">
        <f>"17860264270019337"</f>
        <v>17860264270019337</v>
      </c>
      <c r="B227" t="s">
        <v>175</v>
      </c>
      <c r="C227" t="s">
        <v>176</v>
      </c>
    </row>
    <row r="228" spans="1:3" x14ac:dyDescent="0.25">
      <c r="A228" t="str">
        <f>"17860470931002715"</f>
        <v>17860470931002715</v>
      </c>
      <c r="B228" t="s">
        <v>177</v>
      </c>
      <c r="C228" t="s">
        <v>178</v>
      </c>
    </row>
    <row r="229" spans="1:3" x14ac:dyDescent="0.25">
      <c r="A229" t="str">
        <f>"17860581589002715"</f>
        <v>17860581589002715</v>
      </c>
      <c r="B229" t="s">
        <v>58</v>
      </c>
      <c r="C229" t="s">
        <v>179</v>
      </c>
    </row>
    <row r="230" spans="1:3" x14ac:dyDescent="0.25">
      <c r="A230" t="str">
        <f>"17860470931002715"</f>
        <v>17860470931002715</v>
      </c>
      <c r="B230" t="s">
        <v>177</v>
      </c>
      <c r="C230" t="s">
        <v>178</v>
      </c>
    </row>
    <row r="231" spans="1:3" x14ac:dyDescent="0.25">
      <c r="A231" t="str">
        <f>"17860581589002715"</f>
        <v>17860581589002715</v>
      </c>
      <c r="B231" t="s">
        <v>58</v>
      </c>
      <c r="C231" t="s">
        <v>179</v>
      </c>
    </row>
    <row r="232" spans="1:3" x14ac:dyDescent="0.25">
      <c r="A232" t="str">
        <f>"17861228509051192"</f>
        <v>17861228509051192</v>
      </c>
      <c r="B232" t="s">
        <v>140</v>
      </c>
      <c r="C232" t="s">
        <v>180</v>
      </c>
    </row>
    <row r="233" spans="1:3" x14ac:dyDescent="0.25">
      <c r="A233" t="str">
        <f>"17861313865051192"</f>
        <v>17861313865051192</v>
      </c>
      <c r="B233" t="s">
        <v>181</v>
      </c>
      <c r="C233" t="s">
        <v>182</v>
      </c>
    </row>
    <row r="234" spans="1:3" x14ac:dyDescent="0.25">
      <c r="A234" t="str">
        <f>"17861228509051192"</f>
        <v>17861228509051192</v>
      </c>
      <c r="B234" t="s">
        <v>140</v>
      </c>
      <c r="C234" t="s">
        <v>180</v>
      </c>
    </row>
    <row r="235" spans="1:3" x14ac:dyDescent="0.25">
      <c r="A235" t="str">
        <f>"17861313865051192"</f>
        <v>17861313865051192</v>
      </c>
      <c r="B235" t="s">
        <v>181</v>
      </c>
      <c r="C235" t="s">
        <v>182</v>
      </c>
    </row>
    <row r="236" spans="1:3" x14ac:dyDescent="0.25">
      <c r="A236" t="str">
        <f>"17851888315106795"</f>
        <v>17851888315106795</v>
      </c>
      <c r="B236" t="s">
        <v>183</v>
      </c>
      <c r="C236" t="s">
        <v>184</v>
      </c>
    </row>
    <row r="237" spans="1:3" x14ac:dyDescent="0.25">
      <c r="A237" t="str">
        <f>"17852388328106795"</f>
        <v>17852388328106795</v>
      </c>
      <c r="B237" t="s">
        <v>185</v>
      </c>
      <c r="C237" t="s">
        <v>186</v>
      </c>
    </row>
    <row r="238" spans="1:3" x14ac:dyDescent="0.25">
      <c r="A238" t="str">
        <f>"17851888315106795"</f>
        <v>17851888315106795</v>
      </c>
      <c r="B238" t="s">
        <v>183</v>
      </c>
      <c r="C238" t="s">
        <v>184</v>
      </c>
    </row>
    <row r="239" spans="1:3" x14ac:dyDescent="0.25">
      <c r="A239" t="str">
        <f>"17852388328106795"</f>
        <v>17852388328106795</v>
      </c>
      <c r="B239" t="s">
        <v>185</v>
      </c>
      <c r="C239" t="s">
        <v>186</v>
      </c>
    </row>
    <row r="240" spans="1:3" x14ac:dyDescent="0.25">
      <c r="A240" t="str">
        <f>"17851937353102575"</f>
        <v>17851937353102575</v>
      </c>
      <c r="B240" t="s">
        <v>187</v>
      </c>
      <c r="C240" t="s">
        <v>188</v>
      </c>
    </row>
    <row r="241" spans="1:3" x14ac:dyDescent="0.25">
      <c r="A241" t="str">
        <f>"17851949374102575"</f>
        <v>17851949374102575</v>
      </c>
      <c r="B241" t="s">
        <v>189</v>
      </c>
      <c r="C241" t="s">
        <v>190</v>
      </c>
    </row>
    <row r="242" spans="1:3" x14ac:dyDescent="0.25">
      <c r="A242" t="str">
        <f>"17851951780102575"</f>
        <v>17851951780102575</v>
      </c>
      <c r="B242" t="s">
        <v>191</v>
      </c>
      <c r="C242" t="s">
        <v>192</v>
      </c>
    </row>
    <row r="243" spans="1:3" x14ac:dyDescent="0.25">
      <c r="A243" t="str">
        <f>"17851937353102575"</f>
        <v>17851937353102575</v>
      </c>
      <c r="B243" t="s">
        <v>187</v>
      </c>
      <c r="C243" t="s">
        <v>188</v>
      </c>
    </row>
    <row r="244" spans="1:3" x14ac:dyDescent="0.25">
      <c r="A244" t="str">
        <f>"17851949374102575"</f>
        <v>17851949374102575</v>
      </c>
      <c r="B244" t="s">
        <v>189</v>
      </c>
      <c r="C244" t="s">
        <v>190</v>
      </c>
    </row>
    <row r="245" spans="1:3" x14ac:dyDescent="0.25">
      <c r="A245" t="str">
        <f>"17851951780102575"</f>
        <v>17851951780102575</v>
      </c>
      <c r="B245" t="s">
        <v>191</v>
      </c>
      <c r="C245" t="s">
        <v>192</v>
      </c>
    </row>
    <row r="246" spans="1:3" x14ac:dyDescent="0.25">
      <c r="A246" t="str">
        <f>"17851937353102575"</f>
        <v>17851937353102575</v>
      </c>
      <c r="B246" t="s">
        <v>187</v>
      </c>
      <c r="C246" t="s">
        <v>188</v>
      </c>
    </row>
    <row r="247" spans="1:3" x14ac:dyDescent="0.25">
      <c r="A247" t="str">
        <f>"17851949374102575"</f>
        <v>17851949374102575</v>
      </c>
      <c r="B247" t="s">
        <v>189</v>
      </c>
      <c r="C247" t="s">
        <v>190</v>
      </c>
    </row>
    <row r="248" spans="1:3" x14ac:dyDescent="0.25">
      <c r="A248" t="str">
        <f>"17851951780102575"</f>
        <v>17851951780102575</v>
      </c>
      <c r="B248" t="s">
        <v>191</v>
      </c>
      <c r="C248" t="s">
        <v>192</v>
      </c>
    </row>
    <row r="249" spans="1:3" x14ac:dyDescent="0.25">
      <c r="A249" t="str">
        <f>"17860645129039199"</f>
        <v>17860645129039199</v>
      </c>
      <c r="B249" t="s">
        <v>193</v>
      </c>
      <c r="C249" t="s">
        <v>194</v>
      </c>
    </row>
    <row r="250" spans="1:3" x14ac:dyDescent="0.25">
      <c r="A250" t="str">
        <f>"17860645129039199"</f>
        <v>17860645129039199</v>
      </c>
      <c r="B250" t="s">
        <v>193</v>
      </c>
      <c r="C250" t="s">
        <v>194</v>
      </c>
    </row>
    <row r="251" spans="1:3" x14ac:dyDescent="0.25">
      <c r="A251" t="str">
        <f>"17860645129039199"</f>
        <v>17860645129039199</v>
      </c>
      <c r="B251" t="s">
        <v>193</v>
      </c>
      <c r="C251" t="s">
        <v>194</v>
      </c>
    </row>
    <row r="252" spans="1:3" x14ac:dyDescent="0.25">
      <c r="A252" t="str">
        <f>"17958605407103674"</f>
        <v>17958605407103674</v>
      </c>
      <c r="B252" t="s">
        <v>195</v>
      </c>
      <c r="C252" t="s">
        <v>196</v>
      </c>
    </row>
    <row r="253" spans="1:3" x14ac:dyDescent="0.25">
      <c r="A253" t="str">
        <f>"17958605407103674"</f>
        <v>17958605407103674</v>
      </c>
      <c r="B253" t="s">
        <v>195</v>
      </c>
      <c r="C253" t="s">
        <v>196</v>
      </c>
    </row>
    <row r="254" spans="1:3" x14ac:dyDescent="0.25">
      <c r="A254" t="str">
        <f>"17851279678104932"</f>
        <v>17851279678104932</v>
      </c>
      <c r="B254" t="s">
        <v>197</v>
      </c>
      <c r="C254" t="s">
        <v>198</v>
      </c>
    </row>
    <row r="255" spans="1:3" x14ac:dyDescent="0.25">
      <c r="A255" t="str">
        <f>"17853272872104932"</f>
        <v>17853272872104932</v>
      </c>
      <c r="B255" t="s">
        <v>199</v>
      </c>
      <c r="C255" t="s">
        <v>200</v>
      </c>
    </row>
    <row r="256" spans="1:3" x14ac:dyDescent="0.25">
      <c r="A256" t="str">
        <f>"17851279678104932"</f>
        <v>17851279678104932</v>
      </c>
      <c r="B256" t="s">
        <v>197</v>
      </c>
      <c r="C256" t="s">
        <v>198</v>
      </c>
    </row>
    <row r="257" spans="1:3" x14ac:dyDescent="0.25">
      <c r="A257" t="str">
        <f>"17853272872104932"</f>
        <v>17853272872104932</v>
      </c>
      <c r="B257" t="s">
        <v>199</v>
      </c>
      <c r="C257" t="s">
        <v>200</v>
      </c>
    </row>
    <row r="258" spans="1:3" x14ac:dyDescent="0.25">
      <c r="A258" t="str">
        <f>"17851279678104932"</f>
        <v>17851279678104932</v>
      </c>
      <c r="B258" t="s">
        <v>197</v>
      </c>
      <c r="C258" t="s">
        <v>198</v>
      </c>
    </row>
    <row r="259" spans="1:3" x14ac:dyDescent="0.25">
      <c r="A259" t="str">
        <f>"17853272872104932"</f>
        <v>17853272872104932</v>
      </c>
      <c r="B259" t="s">
        <v>199</v>
      </c>
      <c r="C259" t="s">
        <v>200</v>
      </c>
    </row>
    <row r="260" spans="1:3" x14ac:dyDescent="0.25">
      <c r="A260" t="str">
        <f>"17860722058026606"</f>
        <v>17860722058026606</v>
      </c>
      <c r="B260" t="s">
        <v>201</v>
      </c>
      <c r="C260" t="s">
        <v>202</v>
      </c>
    </row>
    <row r="261" spans="1:3" x14ac:dyDescent="0.25">
      <c r="A261" t="str">
        <f>"17860722058026606"</f>
        <v>17860722058026606</v>
      </c>
      <c r="B261" t="s">
        <v>201</v>
      </c>
      <c r="C261" t="s">
        <v>202</v>
      </c>
    </row>
    <row r="262" spans="1:3" x14ac:dyDescent="0.25">
      <c r="A262" t="str">
        <f>"17909333818194006"</f>
        <v>17909333818194006</v>
      </c>
      <c r="B262" t="s">
        <v>203</v>
      </c>
      <c r="C262" t="s">
        <v>204</v>
      </c>
    </row>
    <row r="263" spans="1:3" x14ac:dyDescent="0.25">
      <c r="A263" t="str">
        <f>"17909333818194006"</f>
        <v>17909333818194006</v>
      </c>
      <c r="B263" t="s">
        <v>203</v>
      </c>
      <c r="C263" t="s">
        <v>204</v>
      </c>
    </row>
    <row r="264" spans="1:3" x14ac:dyDescent="0.25">
      <c r="A264" t="str">
        <f>"17851491562095563"</f>
        <v>17851491562095563</v>
      </c>
      <c r="B264" t="s">
        <v>66</v>
      </c>
      <c r="C264" t="s">
        <v>205</v>
      </c>
    </row>
    <row r="265" spans="1:3" x14ac:dyDescent="0.25">
      <c r="A265" t="str">
        <f>"17851541347095563"</f>
        <v>17851541347095563</v>
      </c>
      <c r="B265" t="s">
        <v>206</v>
      </c>
      <c r="C265" t="s">
        <v>207</v>
      </c>
    </row>
    <row r="266" spans="1:3" x14ac:dyDescent="0.25">
      <c r="A266" t="str">
        <f>"17851491562095563"</f>
        <v>17851491562095563</v>
      </c>
      <c r="B266" t="s">
        <v>66</v>
      </c>
      <c r="C266" t="s">
        <v>205</v>
      </c>
    </row>
    <row r="267" spans="1:3" x14ac:dyDescent="0.25">
      <c r="A267" t="str">
        <f>"17851541347095563"</f>
        <v>17851541347095563</v>
      </c>
      <c r="B267" t="s">
        <v>206</v>
      </c>
      <c r="C267" t="s">
        <v>207</v>
      </c>
    </row>
    <row r="268" spans="1:3" x14ac:dyDescent="0.25">
      <c r="A268" t="str">
        <f>"17851491562095563"</f>
        <v>17851491562095563</v>
      </c>
      <c r="B268" t="s">
        <v>66</v>
      </c>
      <c r="C268" t="s">
        <v>205</v>
      </c>
    </row>
    <row r="269" spans="1:3" x14ac:dyDescent="0.25">
      <c r="A269" t="str">
        <f>"17851541347095563"</f>
        <v>17851541347095563</v>
      </c>
      <c r="B269" t="s">
        <v>206</v>
      </c>
      <c r="C269" t="s">
        <v>207</v>
      </c>
    </row>
    <row r="270" spans="1:3" x14ac:dyDescent="0.25">
      <c r="A270" t="str">
        <f>"17851777465125573"</f>
        <v>17851777465125573</v>
      </c>
      <c r="B270" t="s">
        <v>80</v>
      </c>
      <c r="C270" t="s">
        <v>208</v>
      </c>
    </row>
    <row r="271" spans="1:3" x14ac:dyDescent="0.25">
      <c r="A271" t="str">
        <f>"17851284850116090"</f>
        <v>17851284850116090</v>
      </c>
      <c r="B271" t="s">
        <v>209</v>
      </c>
      <c r="C271" t="s">
        <v>210</v>
      </c>
    </row>
    <row r="272" spans="1:3" x14ac:dyDescent="0.25">
      <c r="A272" t="str">
        <f>"17959835164082786"</f>
        <v>17959835164082786</v>
      </c>
      <c r="B272" t="s">
        <v>211</v>
      </c>
      <c r="C272" t="s">
        <v>212</v>
      </c>
    </row>
    <row r="273" spans="1:3" x14ac:dyDescent="0.25">
      <c r="A273" t="str">
        <f>"17959835164082786"</f>
        <v>17959835164082786</v>
      </c>
      <c r="B273" t="s">
        <v>211</v>
      </c>
      <c r="C273" t="s">
        <v>212</v>
      </c>
    </row>
    <row r="274" spans="1:3" x14ac:dyDescent="0.25">
      <c r="A274" t="str">
        <f>"17853044041127583"</f>
        <v>17853044041127583</v>
      </c>
      <c r="B274" t="s">
        <v>213</v>
      </c>
      <c r="C274" t="s">
        <v>214</v>
      </c>
    </row>
    <row r="275" spans="1:3" x14ac:dyDescent="0.25">
      <c r="A275" t="str">
        <f>"17853044041127583"</f>
        <v>17853044041127583</v>
      </c>
      <c r="B275" t="s">
        <v>213</v>
      </c>
      <c r="C275" t="s">
        <v>214</v>
      </c>
    </row>
    <row r="276" spans="1:3" x14ac:dyDescent="0.25">
      <c r="A276" t="str">
        <f>"17926599190167265"</f>
        <v>17926599190167265</v>
      </c>
      <c r="B276" t="s">
        <v>215</v>
      </c>
      <c r="C276" t="s">
        <v>216</v>
      </c>
    </row>
    <row r="277" spans="1:3" x14ac:dyDescent="0.25">
      <c r="A277" t="str">
        <f>"17926599190167265"</f>
        <v>17926599190167265</v>
      </c>
      <c r="B277" t="s">
        <v>215</v>
      </c>
      <c r="C277" t="s">
        <v>216</v>
      </c>
    </row>
    <row r="278" spans="1:3" x14ac:dyDescent="0.25">
      <c r="A278" t="str">
        <f>"17842389916152592"</f>
        <v>17842389916152592</v>
      </c>
      <c r="B278" t="s">
        <v>217</v>
      </c>
      <c r="C278" t="s">
        <v>218</v>
      </c>
    </row>
    <row r="279" spans="1:3" x14ac:dyDescent="0.25">
      <c r="A279" t="str">
        <f>"17842402051152592"</f>
        <v>17842402051152592</v>
      </c>
      <c r="B279" t="s">
        <v>206</v>
      </c>
      <c r="C279" t="s">
        <v>219</v>
      </c>
    </row>
    <row r="280" spans="1:3" x14ac:dyDescent="0.25">
      <c r="A280" t="str">
        <f>"17842389916152592"</f>
        <v>17842389916152592</v>
      </c>
      <c r="B280" t="s">
        <v>217</v>
      </c>
      <c r="C280" t="s">
        <v>218</v>
      </c>
    </row>
    <row r="281" spans="1:3" x14ac:dyDescent="0.25">
      <c r="A281" t="str">
        <f>"17842402051152592"</f>
        <v>17842402051152592</v>
      </c>
      <c r="B281" t="s">
        <v>206</v>
      </c>
      <c r="C281" t="s">
        <v>219</v>
      </c>
    </row>
    <row r="282" spans="1:3" x14ac:dyDescent="0.25">
      <c r="A282" t="str">
        <f>"17852707996098365"</f>
        <v>17852707996098365</v>
      </c>
      <c r="B282" t="s">
        <v>40</v>
      </c>
      <c r="C282" t="s">
        <v>220</v>
      </c>
    </row>
    <row r="283" spans="1:3" x14ac:dyDescent="0.25">
      <c r="A283" t="str">
        <f>"17852707996098365"</f>
        <v>17852707996098365</v>
      </c>
      <c r="B283" t="s">
        <v>40</v>
      </c>
      <c r="C283" t="s">
        <v>220</v>
      </c>
    </row>
    <row r="284" spans="1:3" x14ac:dyDescent="0.25">
      <c r="A284" t="str">
        <f>"17842385566161632"</f>
        <v>17842385566161632</v>
      </c>
      <c r="B284" t="s">
        <v>221</v>
      </c>
      <c r="C284" t="s">
        <v>222</v>
      </c>
    </row>
    <row r="285" spans="1:3" x14ac:dyDescent="0.25">
      <c r="A285" t="str">
        <f>"17842386328161632"</f>
        <v>17842386328161632</v>
      </c>
      <c r="B285" t="s">
        <v>223</v>
      </c>
      <c r="C285" t="s">
        <v>224</v>
      </c>
    </row>
    <row r="286" spans="1:3" x14ac:dyDescent="0.25">
      <c r="A286" t="str">
        <f>"17842408741161632"</f>
        <v>17842408741161632</v>
      </c>
      <c r="B286" t="s">
        <v>225</v>
      </c>
      <c r="C286" t="s">
        <v>226</v>
      </c>
    </row>
    <row r="287" spans="1:3" x14ac:dyDescent="0.25">
      <c r="A287" t="str">
        <f>"17842385566161632"</f>
        <v>17842385566161632</v>
      </c>
      <c r="B287" t="s">
        <v>221</v>
      </c>
      <c r="C287" t="s">
        <v>222</v>
      </c>
    </row>
    <row r="288" spans="1:3" x14ac:dyDescent="0.25">
      <c r="A288" t="str">
        <f>"17842386328161632"</f>
        <v>17842386328161632</v>
      </c>
      <c r="B288" t="s">
        <v>223</v>
      </c>
      <c r="C288" t="s">
        <v>224</v>
      </c>
    </row>
    <row r="289" spans="1:3" x14ac:dyDescent="0.25">
      <c r="A289" t="str">
        <f>"17842408741161632"</f>
        <v>17842408741161632</v>
      </c>
      <c r="B289" t="s">
        <v>225</v>
      </c>
      <c r="C289" t="s">
        <v>226</v>
      </c>
    </row>
    <row r="290" spans="1:3" x14ac:dyDescent="0.25">
      <c r="A290" t="str">
        <f>"17842385566161632"</f>
        <v>17842385566161632</v>
      </c>
      <c r="B290" t="s">
        <v>221</v>
      </c>
      <c r="C290" t="s">
        <v>222</v>
      </c>
    </row>
    <row r="291" spans="1:3" x14ac:dyDescent="0.25">
      <c r="A291" t="str">
        <f>"17842386328161632"</f>
        <v>17842386328161632</v>
      </c>
      <c r="B291" t="s">
        <v>223</v>
      </c>
      <c r="C291" t="s">
        <v>224</v>
      </c>
    </row>
    <row r="292" spans="1:3" x14ac:dyDescent="0.25">
      <c r="A292" t="str">
        <f>"17842408741161632"</f>
        <v>17842408741161632</v>
      </c>
      <c r="B292" t="s">
        <v>225</v>
      </c>
      <c r="C292" t="s">
        <v>226</v>
      </c>
    </row>
    <row r="293" spans="1:3" x14ac:dyDescent="0.25">
      <c r="A293" t="str">
        <f>"17842385566161632"</f>
        <v>17842385566161632</v>
      </c>
      <c r="B293" t="s">
        <v>221</v>
      </c>
      <c r="C293" t="s">
        <v>222</v>
      </c>
    </row>
    <row r="294" spans="1:3" x14ac:dyDescent="0.25">
      <c r="A294" t="str">
        <f>"17842386328161632"</f>
        <v>17842386328161632</v>
      </c>
      <c r="B294" t="s">
        <v>223</v>
      </c>
      <c r="C294" t="s">
        <v>224</v>
      </c>
    </row>
    <row r="295" spans="1:3" x14ac:dyDescent="0.25">
      <c r="A295" t="str">
        <f>"17842408741161632"</f>
        <v>17842408741161632</v>
      </c>
      <c r="B295" t="s">
        <v>225</v>
      </c>
      <c r="C295" t="s">
        <v>226</v>
      </c>
    </row>
    <row r="296" spans="1:3" x14ac:dyDescent="0.25">
      <c r="A296" t="str">
        <f>"17953310305004730"</f>
        <v>17953310305004730</v>
      </c>
      <c r="B296" t="s">
        <v>227</v>
      </c>
      <c r="C296" t="s">
        <v>228</v>
      </c>
    </row>
    <row r="297" spans="1:3" x14ac:dyDescent="0.25">
      <c r="A297" t="str">
        <f>"17960076760122415"</f>
        <v>17960076760122415</v>
      </c>
      <c r="B297" t="s">
        <v>229</v>
      </c>
      <c r="C297" t="s">
        <v>230</v>
      </c>
    </row>
    <row r="298" spans="1:3" x14ac:dyDescent="0.25">
      <c r="A298" t="str">
        <f>"17953310305004730"</f>
        <v>17953310305004730</v>
      </c>
      <c r="B298" t="s">
        <v>227</v>
      </c>
      <c r="C298" t="s">
        <v>228</v>
      </c>
    </row>
    <row r="299" spans="1:3" x14ac:dyDescent="0.25">
      <c r="A299" t="str">
        <f>"17960076760122415"</f>
        <v>17960076760122415</v>
      </c>
      <c r="B299" t="s">
        <v>229</v>
      </c>
      <c r="C299" t="s">
        <v>230</v>
      </c>
    </row>
    <row r="300" spans="1:3" x14ac:dyDescent="0.25">
      <c r="A300" t="str">
        <f>"17953310305004730"</f>
        <v>17953310305004730</v>
      </c>
      <c r="B300" t="s">
        <v>227</v>
      </c>
      <c r="C300" t="s">
        <v>228</v>
      </c>
    </row>
    <row r="301" spans="1:3" x14ac:dyDescent="0.25">
      <c r="A301" t="str">
        <f>"17960076760122415"</f>
        <v>17960076760122415</v>
      </c>
      <c r="B301" t="s">
        <v>229</v>
      </c>
      <c r="C301" t="s">
        <v>230</v>
      </c>
    </row>
    <row r="302" spans="1:3" x14ac:dyDescent="0.25">
      <c r="A302" t="str">
        <f>"17953310305004730"</f>
        <v>17953310305004730</v>
      </c>
      <c r="B302" t="s">
        <v>227</v>
      </c>
      <c r="C302" t="s">
        <v>228</v>
      </c>
    </row>
    <row r="303" spans="1:3" x14ac:dyDescent="0.25">
      <c r="A303" t="str">
        <f>"17960076760122415"</f>
        <v>17960076760122415</v>
      </c>
      <c r="B303" t="s">
        <v>229</v>
      </c>
      <c r="C303" t="s">
        <v>230</v>
      </c>
    </row>
    <row r="304" spans="1:3" x14ac:dyDescent="0.25">
      <c r="A304" t="str">
        <f>"17880366019224586"</f>
        <v>17880366019224586</v>
      </c>
      <c r="B304" t="s">
        <v>231</v>
      </c>
      <c r="C304" t="s">
        <v>232</v>
      </c>
    </row>
    <row r="305" spans="1:3" x14ac:dyDescent="0.25">
      <c r="A305" t="str">
        <f>"17880366019224586"</f>
        <v>17880366019224586</v>
      </c>
      <c r="B305" t="s">
        <v>231</v>
      </c>
      <c r="C305" t="s">
        <v>232</v>
      </c>
    </row>
    <row r="306" spans="1:3" x14ac:dyDescent="0.25">
      <c r="A306" t="str">
        <f>"17862268300012081"</f>
        <v>17862268300012081</v>
      </c>
      <c r="B306" t="s">
        <v>233</v>
      </c>
      <c r="C306" t="s">
        <v>234</v>
      </c>
    </row>
    <row r="307" spans="1:3" x14ac:dyDescent="0.25">
      <c r="A307" t="str">
        <f>"17862268657012081"</f>
        <v>17862268657012081</v>
      </c>
      <c r="B307" t="s">
        <v>235</v>
      </c>
      <c r="C307" t="s">
        <v>236</v>
      </c>
    </row>
    <row r="308" spans="1:3" x14ac:dyDescent="0.25">
      <c r="A308" t="str">
        <f>"17862272818012081"</f>
        <v>17862272818012081</v>
      </c>
      <c r="B308" t="s">
        <v>58</v>
      </c>
      <c r="C308" t="s">
        <v>237</v>
      </c>
    </row>
    <row r="309" spans="1:3" x14ac:dyDescent="0.25">
      <c r="A309" t="str">
        <f>"17862285289012081"</f>
        <v>17862285289012081</v>
      </c>
      <c r="B309" t="s">
        <v>238</v>
      </c>
      <c r="C309" t="s">
        <v>239</v>
      </c>
    </row>
    <row r="310" spans="1:3" x14ac:dyDescent="0.25">
      <c r="A310" t="str">
        <f>"17845133143152300"</f>
        <v>17845133143152300</v>
      </c>
      <c r="B310" t="s">
        <v>240</v>
      </c>
      <c r="C310" t="s">
        <v>241</v>
      </c>
    </row>
    <row r="311" spans="1:3" x14ac:dyDescent="0.25">
      <c r="A311" t="str">
        <f>"17848132114192105"</f>
        <v>17848132114192105</v>
      </c>
      <c r="B311" t="s">
        <v>242</v>
      </c>
      <c r="C311" t="s">
        <v>243</v>
      </c>
    </row>
    <row r="312" spans="1:3" x14ac:dyDescent="0.25">
      <c r="A312" t="str">
        <f>"17862268300012081"</f>
        <v>17862268300012081</v>
      </c>
      <c r="B312" t="s">
        <v>233</v>
      </c>
      <c r="C312" t="s">
        <v>234</v>
      </c>
    </row>
    <row r="313" spans="1:3" x14ac:dyDescent="0.25">
      <c r="A313" t="str">
        <f>"17862268657012081"</f>
        <v>17862268657012081</v>
      </c>
      <c r="B313" t="s">
        <v>235</v>
      </c>
      <c r="C313" t="s">
        <v>236</v>
      </c>
    </row>
    <row r="314" spans="1:3" x14ac:dyDescent="0.25">
      <c r="A314" t="str">
        <f>"17862272818012081"</f>
        <v>17862272818012081</v>
      </c>
      <c r="B314" t="s">
        <v>58</v>
      </c>
      <c r="C314" t="s">
        <v>237</v>
      </c>
    </row>
    <row r="315" spans="1:3" x14ac:dyDescent="0.25">
      <c r="A315" t="str">
        <f>"17862285289012081"</f>
        <v>17862285289012081</v>
      </c>
      <c r="B315" t="s">
        <v>238</v>
      </c>
      <c r="C315" t="s">
        <v>239</v>
      </c>
    </row>
    <row r="316" spans="1:3" x14ac:dyDescent="0.25">
      <c r="A316" t="str">
        <f>"17845133143152300"</f>
        <v>17845133143152300</v>
      </c>
      <c r="B316" t="s">
        <v>240</v>
      </c>
      <c r="C316" t="s">
        <v>241</v>
      </c>
    </row>
    <row r="317" spans="1:3" x14ac:dyDescent="0.25">
      <c r="A317" t="str">
        <f>"17848132114192105"</f>
        <v>17848132114192105</v>
      </c>
      <c r="B317" t="s">
        <v>242</v>
      </c>
      <c r="C317" t="s">
        <v>243</v>
      </c>
    </row>
    <row r="318" spans="1:3" x14ac:dyDescent="0.25">
      <c r="A318" t="str">
        <f>"17842194478138055"</f>
        <v>17842194478138055</v>
      </c>
      <c r="B318" t="s">
        <v>244</v>
      </c>
      <c r="C318" t="s">
        <v>245</v>
      </c>
    </row>
    <row r="319" spans="1:3" x14ac:dyDescent="0.25">
      <c r="A319" t="str">
        <f>"17842215865138055"</f>
        <v>17842215865138055</v>
      </c>
      <c r="B319" t="s">
        <v>37</v>
      </c>
      <c r="C319" t="s">
        <v>246</v>
      </c>
    </row>
    <row r="320" spans="1:3" x14ac:dyDescent="0.25">
      <c r="A320" t="str">
        <f>"17842194478138055"</f>
        <v>17842194478138055</v>
      </c>
      <c r="B320" t="s">
        <v>244</v>
      </c>
      <c r="C320" t="s">
        <v>245</v>
      </c>
    </row>
    <row r="321" spans="1:3" x14ac:dyDescent="0.25">
      <c r="A321" t="str">
        <f>"17842215865138055"</f>
        <v>17842215865138055</v>
      </c>
      <c r="B321" t="s">
        <v>37</v>
      </c>
      <c r="C321" t="s">
        <v>246</v>
      </c>
    </row>
    <row r="322" spans="1:3" x14ac:dyDescent="0.25">
      <c r="A322" t="str">
        <f>"17842194478138055"</f>
        <v>17842194478138055</v>
      </c>
      <c r="B322" t="s">
        <v>244</v>
      </c>
      <c r="C322" t="s">
        <v>245</v>
      </c>
    </row>
    <row r="323" spans="1:3" x14ac:dyDescent="0.25">
      <c r="A323" t="str">
        <f>"17842215865138055"</f>
        <v>17842215865138055</v>
      </c>
      <c r="B323" t="s">
        <v>37</v>
      </c>
      <c r="C323" t="s">
        <v>246</v>
      </c>
    </row>
    <row r="324" spans="1:3" x14ac:dyDescent="0.25">
      <c r="A324" t="str">
        <f>"17864930590261927"</f>
        <v>17864930590261927</v>
      </c>
      <c r="B324" t="s">
        <v>247</v>
      </c>
      <c r="C324" t="s">
        <v>248</v>
      </c>
    </row>
    <row r="325" spans="1:3" x14ac:dyDescent="0.25">
      <c r="A325" t="str">
        <f>"17864930590261927"</f>
        <v>17864930590261927</v>
      </c>
      <c r="B325" t="s">
        <v>247</v>
      </c>
      <c r="C325" t="s">
        <v>248</v>
      </c>
    </row>
    <row r="326" spans="1:3" x14ac:dyDescent="0.25">
      <c r="A326" t="str">
        <f>"17842483747139846"</f>
        <v>17842483747139846</v>
      </c>
      <c r="B326" t="s">
        <v>249</v>
      </c>
      <c r="C326" t="s">
        <v>250</v>
      </c>
    </row>
    <row r="327" spans="1:3" x14ac:dyDescent="0.25">
      <c r="A327" t="str">
        <f>"17842483747139846"</f>
        <v>17842483747139846</v>
      </c>
      <c r="B327" t="s">
        <v>249</v>
      </c>
      <c r="C327" t="s">
        <v>250</v>
      </c>
    </row>
    <row r="328" spans="1:3" x14ac:dyDescent="0.25">
      <c r="A328" t="str">
        <f>"17842483747139846"</f>
        <v>17842483747139846</v>
      </c>
      <c r="B328" t="s">
        <v>249</v>
      </c>
      <c r="C328" t="s">
        <v>250</v>
      </c>
    </row>
    <row r="329" spans="1:3" x14ac:dyDescent="0.25">
      <c r="A329" t="str">
        <f>"17861818849020557"</f>
        <v>17861818849020557</v>
      </c>
      <c r="B329" t="s">
        <v>251</v>
      </c>
      <c r="C329" t="s">
        <v>252</v>
      </c>
    </row>
    <row r="330" spans="1:3" x14ac:dyDescent="0.25">
      <c r="A330" t="str">
        <f>"17861818849020557"</f>
        <v>17861818849020557</v>
      </c>
      <c r="B330" t="s">
        <v>251</v>
      </c>
      <c r="C330" t="s">
        <v>252</v>
      </c>
    </row>
    <row r="331" spans="1:3" x14ac:dyDescent="0.25">
      <c r="A331" t="str">
        <f>"17852373844100005"</f>
        <v>17852373844100005</v>
      </c>
      <c r="B331" t="s">
        <v>253</v>
      </c>
      <c r="C331" t="s">
        <v>254</v>
      </c>
    </row>
    <row r="332" spans="1:3" x14ac:dyDescent="0.25">
      <c r="A332" t="str">
        <f>"17852373844100005"</f>
        <v>17852373844100005</v>
      </c>
      <c r="B332" t="s">
        <v>253</v>
      </c>
      <c r="C332" t="s">
        <v>254</v>
      </c>
    </row>
    <row r="333" spans="1:3" x14ac:dyDescent="0.25">
      <c r="A333" t="str">
        <f>"17856476464068441"</f>
        <v>17856476464068441</v>
      </c>
      <c r="B333" t="s">
        <v>255</v>
      </c>
      <c r="C333" t="s">
        <v>256</v>
      </c>
    </row>
    <row r="334" spans="1:3" x14ac:dyDescent="0.25">
      <c r="A334" t="str">
        <f>"17856476464068441"</f>
        <v>17856476464068441</v>
      </c>
      <c r="B334" t="s">
        <v>255</v>
      </c>
      <c r="C334" t="s">
        <v>256</v>
      </c>
    </row>
    <row r="335" spans="1:3" x14ac:dyDescent="0.25">
      <c r="A335" t="str">
        <f>"17856476464068441"</f>
        <v>17856476464068441</v>
      </c>
      <c r="B335" t="s">
        <v>255</v>
      </c>
      <c r="C335" t="s">
        <v>256</v>
      </c>
    </row>
    <row r="336" spans="1:3" x14ac:dyDescent="0.25">
      <c r="A336" t="str">
        <f>"17842676638132731"</f>
        <v>17842676638132731</v>
      </c>
      <c r="B336" t="s">
        <v>257</v>
      </c>
      <c r="C336" t="s">
        <v>258</v>
      </c>
    </row>
    <row r="337" spans="1:3" x14ac:dyDescent="0.25">
      <c r="A337" t="str">
        <f>"17842799815132731"</f>
        <v>17842799815132731</v>
      </c>
      <c r="B337" t="s">
        <v>259</v>
      </c>
      <c r="C337" t="s">
        <v>260</v>
      </c>
    </row>
    <row r="338" spans="1:3" x14ac:dyDescent="0.25">
      <c r="A338" t="str">
        <f>"17842676638132731"</f>
        <v>17842676638132731</v>
      </c>
      <c r="B338" t="s">
        <v>257</v>
      </c>
      <c r="C338" t="s">
        <v>258</v>
      </c>
    </row>
    <row r="339" spans="1:3" x14ac:dyDescent="0.25">
      <c r="A339" t="str">
        <f>"17842799815132731"</f>
        <v>17842799815132731</v>
      </c>
      <c r="B339" t="s">
        <v>259</v>
      </c>
      <c r="C339" t="s">
        <v>260</v>
      </c>
    </row>
    <row r="340" spans="1:3" x14ac:dyDescent="0.25">
      <c r="A340" t="str">
        <f>"17842218943163182"</f>
        <v>17842218943163182</v>
      </c>
      <c r="B340" t="s">
        <v>261</v>
      </c>
      <c r="C340" t="s">
        <v>262</v>
      </c>
    </row>
    <row r="341" spans="1:3" x14ac:dyDescent="0.25">
      <c r="A341" t="str">
        <f>"17842238110163182"</f>
        <v>17842238110163182</v>
      </c>
      <c r="B341" t="s">
        <v>263</v>
      </c>
      <c r="C341" t="s">
        <v>264</v>
      </c>
    </row>
    <row r="342" spans="1:3" x14ac:dyDescent="0.25">
      <c r="A342" t="str">
        <f>"17842336330163182"</f>
        <v>17842336330163182</v>
      </c>
      <c r="B342" t="s">
        <v>265</v>
      </c>
      <c r="C342" t="s">
        <v>266</v>
      </c>
    </row>
    <row r="343" spans="1:3" x14ac:dyDescent="0.25">
      <c r="A343" t="str">
        <f>"17842218943163182"</f>
        <v>17842218943163182</v>
      </c>
      <c r="B343" t="s">
        <v>261</v>
      </c>
      <c r="C343" t="s">
        <v>262</v>
      </c>
    </row>
    <row r="344" spans="1:3" x14ac:dyDescent="0.25">
      <c r="A344" t="str">
        <f>"17842238110163182"</f>
        <v>17842238110163182</v>
      </c>
      <c r="B344" t="s">
        <v>263</v>
      </c>
      <c r="C344" t="s">
        <v>264</v>
      </c>
    </row>
    <row r="345" spans="1:3" x14ac:dyDescent="0.25">
      <c r="A345" t="str">
        <f>"17842336330163182"</f>
        <v>17842336330163182</v>
      </c>
      <c r="B345" t="s">
        <v>265</v>
      </c>
      <c r="C345" t="s">
        <v>266</v>
      </c>
    </row>
    <row r="346" spans="1:3" x14ac:dyDescent="0.25">
      <c r="A346" t="str">
        <f>"17842218943163182"</f>
        <v>17842218943163182</v>
      </c>
      <c r="B346" t="s">
        <v>261</v>
      </c>
      <c r="C346" t="s">
        <v>262</v>
      </c>
    </row>
    <row r="347" spans="1:3" x14ac:dyDescent="0.25">
      <c r="A347" t="str">
        <f>"17842238110163182"</f>
        <v>17842238110163182</v>
      </c>
      <c r="B347" t="s">
        <v>263</v>
      </c>
      <c r="C347" t="s">
        <v>264</v>
      </c>
    </row>
    <row r="348" spans="1:3" x14ac:dyDescent="0.25">
      <c r="A348" t="str">
        <f>"17842336330163182"</f>
        <v>17842336330163182</v>
      </c>
      <c r="B348" t="s">
        <v>265</v>
      </c>
      <c r="C348" t="s">
        <v>266</v>
      </c>
    </row>
    <row r="349" spans="1:3" x14ac:dyDescent="0.25">
      <c r="A349" t="str">
        <f>"17842218943163182"</f>
        <v>17842218943163182</v>
      </c>
      <c r="B349" t="s">
        <v>261</v>
      </c>
      <c r="C349" t="s">
        <v>262</v>
      </c>
    </row>
    <row r="350" spans="1:3" x14ac:dyDescent="0.25">
      <c r="A350" t="str">
        <f>"17842238110163182"</f>
        <v>17842238110163182</v>
      </c>
      <c r="B350" t="s">
        <v>263</v>
      </c>
      <c r="C350" t="s">
        <v>264</v>
      </c>
    </row>
    <row r="351" spans="1:3" x14ac:dyDescent="0.25">
      <c r="A351" t="str">
        <f>"17842336330163182"</f>
        <v>17842336330163182</v>
      </c>
      <c r="B351" t="s">
        <v>265</v>
      </c>
      <c r="C351" t="s">
        <v>266</v>
      </c>
    </row>
    <row r="352" spans="1:3" x14ac:dyDescent="0.25">
      <c r="A352" t="str">
        <f>"17856330958070240"</f>
        <v>17856330958070240</v>
      </c>
      <c r="B352" t="s">
        <v>58</v>
      </c>
      <c r="C352" t="s">
        <v>267</v>
      </c>
    </row>
    <row r="353" spans="1:3" x14ac:dyDescent="0.25">
      <c r="A353" t="str">
        <f>"17856402901070240"</f>
        <v>17856402901070240</v>
      </c>
      <c r="B353" t="s">
        <v>268</v>
      </c>
      <c r="C353" t="s">
        <v>269</v>
      </c>
    </row>
    <row r="354" spans="1:3" x14ac:dyDescent="0.25">
      <c r="A354" t="str">
        <f>"17846563102275169"</f>
        <v>17846563102275169</v>
      </c>
      <c r="B354" t="s">
        <v>270</v>
      </c>
      <c r="C354" t="s">
        <v>271</v>
      </c>
    </row>
    <row r="355" spans="1:3" x14ac:dyDescent="0.25">
      <c r="A355" t="str">
        <f>"17846563102275169"</f>
        <v>17846563102275169</v>
      </c>
      <c r="B355" t="s">
        <v>270</v>
      </c>
      <c r="C355" t="s">
        <v>271</v>
      </c>
    </row>
    <row r="356" spans="1:3" x14ac:dyDescent="0.25">
      <c r="A356" t="str">
        <f>"17852752492114305"</f>
        <v>17852752492114305</v>
      </c>
      <c r="B356" t="s">
        <v>272</v>
      </c>
      <c r="C356" t="s">
        <v>273</v>
      </c>
    </row>
    <row r="357" spans="1:3" x14ac:dyDescent="0.25">
      <c r="A357" t="str">
        <f>"17852752492114305"</f>
        <v>17852752492114305</v>
      </c>
      <c r="B357" t="s">
        <v>272</v>
      </c>
      <c r="C357" t="s">
        <v>273</v>
      </c>
    </row>
    <row r="358" spans="1:3" x14ac:dyDescent="0.25">
      <c r="A358" t="str">
        <f>"17842374766137481"</f>
        <v>17842374766137481</v>
      </c>
      <c r="B358" t="s">
        <v>274</v>
      </c>
      <c r="C358" t="s">
        <v>275</v>
      </c>
    </row>
    <row r="359" spans="1:3" x14ac:dyDescent="0.25">
      <c r="A359" t="str">
        <f>"17842374766137481"</f>
        <v>17842374766137481</v>
      </c>
      <c r="B359" t="s">
        <v>274</v>
      </c>
      <c r="C359" t="s">
        <v>275</v>
      </c>
    </row>
    <row r="360" spans="1:3" x14ac:dyDescent="0.25">
      <c r="A360" t="str">
        <f>"17842374766137481"</f>
        <v>17842374766137481</v>
      </c>
      <c r="B360" t="s">
        <v>274</v>
      </c>
      <c r="C360" t="s">
        <v>275</v>
      </c>
    </row>
    <row r="361" spans="1:3" x14ac:dyDescent="0.25">
      <c r="A361" t="str">
        <f>"17896560514214783"</f>
        <v>17896560514214783</v>
      </c>
      <c r="B361" t="s">
        <v>276</v>
      </c>
      <c r="C361" t="s">
        <v>277</v>
      </c>
    </row>
    <row r="362" spans="1:3" x14ac:dyDescent="0.25">
      <c r="A362" t="str">
        <f>"17896560514214783"</f>
        <v>17896560514214783</v>
      </c>
      <c r="B362" t="s">
        <v>276</v>
      </c>
      <c r="C362" t="s">
        <v>277</v>
      </c>
    </row>
    <row r="363" spans="1:3" x14ac:dyDescent="0.25">
      <c r="A363" t="str">
        <f>"17896560514214783"</f>
        <v>17896560514214783</v>
      </c>
      <c r="B363" t="s">
        <v>276</v>
      </c>
      <c r="C363" t="s">
        <v>277</v>
      </c>
    </row>
    <row r="364" spans="1:3" x14ac:dyDescent="0.25">
      <c r="A364" t="str">
        <f>"17894485663209549"</f>
        <v>17894485663209549</v>
      </c>
      <c r="B364" t="s">
        <v>278</v>
      </c>
      <c r="C364" t="s">
        <v>279</v>
      </c>
    </row>
    <row r="365" spans="1:3" x14ac:dyDescent="0.25">
      <c r="A365" t="str">
        <f>"17894485663209549"</f>
        <v>17894485663209549</v>
      </c>
      <c r="B365" t="s">
        <v>278</v>
      </c>
      <c r="C365" t="s">
        <v>279</v>
      </c>
    </row>
    <row r="366" spans="1:3" x14ac:dyDescent="0.25">
      <c r="A366" t="str">
        <f>"17862397756060458"</f>
        <v>17862397756060458</v>
      </c>
      <c r="B366" t="s">
        <v>255</v>
      </c>
      <c r="C366" t="s">
        <v>280</v>
      </c>
    </row>
    <row r="367" spans="1:3" x14ac:dyDescent="0.25">
      <c r="A367" t="str">
        <f>"17862397756060458"</f>
        <v>17862397756060458</v>
      </c>
      <c r="B367" t="s">
        <v>255</v>
      </c>
      <c r="C367" t="s">
        <v>280</v>
      </c>
    </row>
    <row r="368" spans="1:3" x14ac:dyDescent="0.25">
      <c r="A368" t="str">
        <f>"17862958804045015"</f>
        <v>17862958804045015</v>
      </c>
      <c r="B368" t="s">
        <v>281</v>
      </c>
      <c r="C368" t="s">
        <v>282</v>
      </c>
    </row>
    <row r="369" spans="1:3" x14ac:dyDescent="0.25">
      <c r="A369" t="str">
        <f>"17862958804045015"</f>
        <v>17862958804045015</v>
      </c>
      <c r="B369" t="s">
        <v>281</v>
      </c>
      <c r="C369" t="s">
        <v>282</v>
      </c>
    </row>
    <row r="370" spans="1:3" x14ac:dyDescent="0.25">
      <c r="A370" t="str">
        <f>"17842771285176687"</f>
        <v>17842771285176687</v>
      </c>
      <c r="B370" t="s">
        <v>283</v>
      </c>
      <c r="C370" t="s">
        <v>284</v>
      </c>
    </row>
    <row r="371" spans="1:3" x14ac:dyDescent="0.25">
      <c r="A371" t="str">
        <f>"17842772317176687"</f>
        <v>17842772317176687</v>
      </c>
      <c r="B371" t="s">
        <v>285</v>
      </c>
      <c r="C371" t="s">
        <v>286</v>
      </c>
    </row>
    <row r="372" spans="1:3" x14ac:dyDescent="0.25">
      <c r="A372" t="str">
        <f>"17842771285176687"</f>
        <v>17842771285176687</v>
      </c>
      <c r="B372" t="s">
        <v>283</v>
      </c>
      <c r="C372" t="s">
        <v>284</v>
      </c>
    </row>
    <row r="373" spans="1:3" x14ac:dyDescent="0.25">
      <c r="A373" t="str">
        <f>"17842772317176687"</f>
        <v>17842772317176687</v>
      </c>
      <c r="B373" t="s">
        <v>285</v>
      </c>
      <c r="C373" t="s">
        <v>286</v>
      </c>
    </row>
    <row r="374" spans="1:3" x14ac:dyDescent="0.25">
      <c r="A374" t="str">
        <f>"17864239771054590"</f>
        <v>17864239771054590</v>
      </c>
      <c r="B374" t="s">
        <v>287</v>
      </c>
      <c r="C374" t="s">
        <v>288</v>
      </c>
    </row>
    <row r="375" spans="1:3" x14ac:dyDescent="0.25">
      <c r="A375" t="str">
        <f>"17855765608075045"</f>
        <v>17855765608075045</v>
      </c>
      <c r="B375" t="s">
        <v>289</v>
      </c>
      <c r="C375" t="s">
        <v>290</v>
      </c>
    </row>
    <row r="376" spans="1:3" x14ac:dyDescent="0.25">
      <c r="A376" t="str">
        <f>"17843685580164781"</f>
        <v>17843685580164781</v>
      </c>
      <c r="B376" t="s">
        <v>31</v>
      </c>
      <c r="C376" t="s">
        <v>291</v>
      </c>
    </row>
    <row r="377" spans="1:3" x14ac:dyDescent="0.25">
      <c r="A377" t="str">
        <f>"17864239771054590"</f>
        <v>17864239771054590</v>
      </c>
      <c r="B377" t="s">
        <v>287</v>
      </c>
      <c r="C377" t="s">
        <v>288</v>
      </c>
    </row>
    <row r="378" spans="1:3" x14ac:dyDescent="0.25">
      <c r="A378" t="str">
        <f>"17855765608075045"</f>
        <v>17855765608075045</v>
      </c>
      <c r="B378" t="s">
        <v>289</v>
      </c>
      <c r="C378" t="s">
        <v>290</v>
      </c>
    </row>
    <row r="379" spans="1:3" x14ac:dyDescent="0.25">
      <c r="A379" t="str">
        <f>"17843685580164781"</f>
        <v>17843685580164781</v>
      </c>
      <c r="B379" t="s">
        <v>31</v>
      </c>
      <c r="C379" t="s">
        <v>291</v>
      </c>
    </row>
    <row r="380" spans="1:3" x14ac:dyDescent="0.25">
      <c r="A380" t="str">
        <f>"17865379369030671"</f>
        <v>17865379369030671</v>
      </c>
      <c r="B380" t="s">
        <v>292</v>
      </c>
      <c r="C380" t="s">
        <v>293</v>
      </c>
    </row>
    <row r="381" spans="1:3" x14ac:dyDescent="0.25">
      <c r="A381" t="str">
        <f>"17855911267075121"</f>
        <v>17855911267075121</v>
      </c>
      <c r="B381" t="s">
        <v>294</v>
      </c>
      <c r="C381" t="s">
        <v>295</v>
      </c>
    </row>
    <row r="382" spans="1:3" x14ac:dyDescent="0.25">
      <c r="A382" t="str">
        <f>"17865379369030671"</f>
        <v>17865379369030671</v>
      </c>
      <c r="B382" t="s">
        <v>292</v>
      </c>
      <c r="C382" t="s">
        <v>293</v>
      </c>
    </row>
    <row r="383" spans="1:3" x14ac:dyDescent="0.25">
      <c r="A383" t="str">
        <f>"17855911267075121"</f>
        <v>17855911267075121</v>
      </c>
      <c r="B383" t="s">
        <v>294</v>
      </c>
      <c r="C383" t="s">
        <v>295</v>
      </c>
    </row>
    <row r="384" spans="1:3" x14ac:dyDescent="0.25">
      <c r="A384" t="str">
        <f>"17860494130271209"</f>
        <v>17860494130271209</v>
      </c>
      <c r="B384" t="s">
        <v>296</v>
      </c>
      <c r="C384" t="s">
        <v>297</v>
      </c>
    </row>
    <row r="385" spans="1:3" x14ac:dyDescent="0.25">
      <c r="A385" t="str">
        <f>"17860494130271209"</f>
        <v>17860494130271209</v>
      </c>
      <c r="B385" t="s">
        <v>296</v>
      </c>
      <c r="C385" t="s">
        <v>297</v>
      </c>
    </row>
    <row r="386" spans="1:3" x14ac:dyDescent="0.25">
      <c r="A386" t="str">
        <f>"17852604835088846"</f>
        <v>17852604835088846</v>
      </c>
      <c r="B386" t="s">
        <v>298</v>
      </c>
      <c r="C386" t="s">
        <v>299</v>
      </c>
    </row>
    <row r="387" spans="1:3" x14ac:dyDescent="0.25">
      <c r="A387" t="str">
        <f>"17852628160088846"</f>
        <v>17852628160088846</v>
      </c>
      <c r="B387" t="s">
        <v>136</v>
      </c>
      <c r="C387" t="s">
        <v>300</v>
      </c>
    </row>
    <row r="388" spans="1:3" x14ac:dyDescent="0.25">
      <c r="A388" t="str">
        <f>"17852604835088846"</f>
        <v>17852604835088846</v>
      </c>
      <c r="B388" t="s">
        <v>298</v>
      </c>
      <c r="C388" t="s">
        <v>299</v>
      </c>
    </row>
    <row r="389" spans="1:3" x14ac:dyDescent="0.25">
      <c r="A389" t="str">
        <f>"17852628160088846"</f>
        <v>17852628160088846</v>
      </c>
      <c r="B389" t="s">
        <v>136</v>
      </c>
      <c r="C389" t="s">
        <v>300</v>
      </c>
    </row>
    <row r="390" spans="1:3" x14ac:dyDescent="0.25">
      <c r="A390" t="str">
        <f>"17864513827060479"</f>
        <v>17864513827060479</v>
      </c>
      <c r="B390" t="s">
        <v>58</v>
      </c>
      <c r="C390" t="s">
        <v>301</v>
      </c>
    </row>
    <row r="391" spans="1:3" x14ac:dyDescent="0.25">
      <c r="A391" t="str">
        <f>"17864894686060479"</f>
        <v>17864894686060479</v>
      </c>
      <c r="B391" t="s">
        <v>292</v>
      </c>
      <c r="C391" t="s">
        <v>302</v>
      </c>
    </row>
    <row r="392" spans="1:3" x14ac:dyDescent="0.25">
      <c r="A392" t="str">
        <f>"17865135400060479"</f>
        <v>17865135400060479</v>
      </c>
      <c r="B392" t="s">
        <v>303</v>
      </c>
      <c r="C392" t="s">
        <v>304</v>
      </c>
    </row>
    <row r="393" spans="1:3" x14ac:dyDescent="0.25">
      <c r="A393" t="str">
        <f>"17864513827060479"</f>
        <v>17864513827060479</v>
      </c>
      <c r="B393" t="s">
        <v>58</v>
      </c>
      <c r="C393" t="s">
        <v>301</v>
      </c>
    </row>
    <row r="394" spans="1:3" x14ac:dyDescent="0.25">
      <c r="A394" t="str">
        <f>"17864894686060479"</f>
        <v>17864894686060479</v>
      </c>
      <c r="B394" t="s">
        <v>292</v>
      </c>
      <c r="C394" t="s">
        <v>302</v>
      </c>
    </row>
    <row r="395" spans="1:3" x14ac:dyDescent="0.25">
      <c r="A395" t="str">
        <f>"17865135400060479"</f>
        <v>17865135400060479</v>
      </c>
      <c r="B395" t="s">
        <v>303</v>
      </c>
      <c r="C395" t="s">
        <v>304</v>
      </c>
    </row>
    <row r="396" spans="1:3" x14ac:dyDescent="0.25">
      <c r="A396" t="str">
        <f>"17864513827060479"</f>
        <v>17864513827060479</v>
      </c>
      <c r="B396" t="s">
        <v>58</v>
      </c>
      <c r="C396" t="s">
        <v>301</v>
      </c>
    </row>
    <row r="397" spans="1:3" x14ac:dyDescent="0.25">
      <c r="A397" t="str">
        <f>"17864894686060479"</f>
        <v>17864894686060479</v>
      </c>
      <c r="B397" t="s">
        <v>292</v>
      </c>
      <c r="C397" t="s">
        <v>302</v>
      </c>
    </row>
    <row r="398" spans="1:3" x14ac:dyDescent="0.25">
      <c r="A398" t="str">
        <f>"17865135400060479"</f>
        <v>17865135400060479</v>
      </c>
      <c r="B398" t="s">
        <v>303</v>
      </c>
      <c r="C398" t="s">
        <v>304</v>
      </c>
    </row>
    <row r="399" spans="1:3" x14ac:dyDescent="0.25">
      <c r="A399" t="str">
        <f>"17842981216176754"</f>
        <v>17842981216176754</v>
      </c>
      <c r="B399" t="s">
        <v>206</v>
      </c>
      <c r="C399" t="s">
        <v>305</v>
      </c>
    </row>
    <row r="400" spans="1:3" x14ac:dyDescent="0.25">
      <c r="A400" t="str">
        <f>"17843194486176754"</f>
        <v>17843194486176754</v>
      </c>
      <c r="B400" t="s">
        <v>306</v>
      </c>
      <c r="C400" t="s">
        <v>307</v>
      </c>
    </row>
    <row r="401" spans="1:3" x14ac:dyDescent="0.25">
      <c r="A401" t="str">
        <f>"17843355808176754"</f>
        <v>17843355808176754</v>
      </c>
      <c r="B401" t="s">
        <v>308</v>
      </c>
      <c r="C401" t="s">
        <v>309</v>
      </c>
    </row>
    <row r="402" spans="1:3" x14ac:dyDescent="0.25">
      <c r="A402" t="str">
        <f>"17842981216176754"</f>
        <v>17842981216176754</v>
      </c>
      <c r="B402" t="s">
        <v>206</v>
      </c>
      <c r="C402" t="s">
        <v>305</v>
      </c>
    </row>
    <row r="403" spans="1:3" x14ac:dyDescent="0.25">
      <c r="A403" t="str">
        <f>"17843194486176754"</f>
        <v>17843194486176754</v>
      </c>
      <c r="B403" t="s">
        <v>306</v>
      </c>
      <c r="C403" t="s">
        <v>307</v>
      </c>
    </row>
    <row r="404" spans="1:3" x14ac:dyDescent="0.25">
      <c r="A404" t="str">
        <f>"17843355808176754"</f>
        <v>17843355808176754</v>
      </c>
      <c r="B404" t="s">
        <v>308</v>
      </c>
      <c r="C404" t="s">
        <v>309</v>
      </c>
    </row>
    <row r="405" spans="1:3" x14ac:dyDescent="0.25">
      <c r="A405" t="str">
        <f>"17842981216176754"</f>
        <v>17842981216176754</v>
      </c>
      <c r="B405" t="s">
        <v>206</v>
      </c>
      <c r="C405" t="s">
        <v>305</v>
      </c>
    </row>
    <row r="406" spans="1:3" x14ac:dyDescent="0.25">
      <c r="A406" t="str">
        <f>"17843194486176754"</f>
        <v>17843194486176754</v>
      </c>
      <c r="B406" t="s">
        <v>306</v>
      </c>
      <c r="C406" t="s">
        <v>307</v>
      </c>
    </row>
    <row r="407" spans="1:3" x14ac:dyDescent="0.25">
      <c r="A407" t="str">
        <f>"17843355808176754"</f>
        <v>17843355808176754</v>
      </c>
      <c r="B407" t="s">
        <v>308</v>
      </c>
      <c r="C407" t="s">
        <v>309</v>
      </c>
    </row>
    <row r="408" spans="1:3" x14ac:dyDescent="0.25">
      <c r="A408" t="str">
        <f>"17843706898285779"</f>
        <v>17843706898285779</v>
      </c>
      <c r="B408" t="s">
        <v>310</v>
      </c>
      <c r="C408" t="s">
        <v>311</v>
      </c>
    </row>
    <row r="409" spans="1:3" x14ac:dyDescent="0.25">
      <c r="A409" t="str">
        <f>"17967223447041754"</f>
        <v>17967223447041754</v>
      </c>
      <c r="B409" t="s">
        <v>312</v>
      </c>
      <c r="C409" t="s">
        <v>313</v>
      </c>
    </row>
    <row r="410" spans="1:3" x14ac:dyDescent="0.25">
      <c r="A410" t="str">
        <f>"17843706898285779"</f>
        <v>17843706898285779</v>
      </c>
      <c r="B410" t="s">
        <v>310</v>
      </c>
      <c r="C410" t="s">
        <v>311</v>
      </c>
    </row>
    <row r="411" spans="1:3" x14ac:dyDescent="0.25">
      <c r="A411" t="str">
        <f>"17967223447041754"</f>
        <v>17967223447041754</v>
      </c>
      <c r="B411" t="s">
        <v>312</v>
      </c>
      <c r="C411" t="s">
        <v>313</v>
      </c>
    </row>
    <row r="412" spans="1:3" x14ac:dyDescent="0.25">
      <c r="A412" t="str">
        <f>"17852687335087376"</f>
        <v>17852687335087376</v>
      </c>
      <c r="B412" t="s">
        <v>314</v>
      </c>
      <c r="C412" t="s">
        <v>315</v>
      </c>
    </row>
    <row r="413" spans="1:3" x14ac:dyDescent="0.25">
      <c r="A413" t="str">
        <f>"17852714248087376"</f>
        <v>17852714248087376</v>
      </c>
      <c r="B413" t="s">
        <v>9</v>
      </c>
      <c r="C413" t="s">
        <v>316</v>
      </c>
    </row>
    <row r="414" spans="1:3" x14ac:dyDescent="0.25">
      <c r="A414" t="str">
        <f>"17852837689087376"</f>
        <v>17852837689087376</v>
      </c>
      <c r="B414" t="s">
        <v>317</v>
      </c>
      <c r="C414" t="s">
        <v>318</v>
      </c>
    </row>
    <row r="415" spans="1:3" x14ac:dyDescent="0.25">
      <c r="A415" t="str">
        <f>"17852841835087376"</f>
        <v>17852841835087376</v>
      </c>
      <c r="B415" t="s">
        <v>319</v>
      </c>
      <c r="C415" t="s">
        <v>320</v>
      </c>
    </row>
    <row r="416" spans="1:3" x14ac:dyDescent="0.25">
      <c r="A416" t="str">
        <f>"17852902657087376"</f>
        <v>17852902657087376</v>
      </c>
      <c r="B416" t="s">
        <v>321</v>
      </c>
      <c r="C416" t="s">
        <v>322</v>
      </c>
    </row>
    <row r="417" spans="1:3" x14ac:dyDescent="0.25">
      <c r="A417" t="str">
        <f>"17852920567087376"</f>
        <v>17852920567087376</v>
      </c>
      <c r="B417" t="s">
        <v>323</v>
      </c>
      <c r="C417" t="s">
        <v>324</v>
      </c>
    </row>
    <row r="418" spans="1:3" x14ac:dyDescent="0.25">
      <c r="A418" t="str">
        <f>"17852941276087376"</f>
        <v>17852941276087376</v>
      </c>
      <c r="B418" t="s">
        <v>325</v>
      </c>
      <c r="C418" t="s">
        <v>326</v>
      </c>
    </row>
    <row r="419" spans="1:3" x14ac:dyDescent="0.25">
      <c r="A419" t="str">
        <f>"17853014641087376"</f>
        <v>17853014641087376</v>
      </c>
      <c r="B419" t="s">
        <v>58</v>
      </c>
      <c r="C419" t="s">
        <v>327</v>
      </c>
    </row>
    <row r="420" spans="1:3" x14ac:dyDescent="0.25">
      <c r="A420" t="str">
        <f>"17853086755087376"</f>
        <v>17853086755087376</v>
      </c>
      <c r="B420" t="s">
        <v>58</v>
      </c>
      <c r="C420" t="s">
        <v>328</v>
      </c>
    </row>
    <row r="421" spans="1:3" x14ac:dyDescent="0.25">
      <c r="A421" t="str">
        <f>"17852687335087376"</f>
        <v>17852687335087376</v>
      </c>
      <c r="B421" t="s">
        <v>314</v>
      </c>
      <c r="C421" t="s">
        <v>315</v>
      </c>
    </row>
    <row r="422" spans="1:3" x14ac:dyDescent="0.25">
      <c r="A422" t="str">
        <f>"17852714248087376"</f>
        <v>17852714248087376</v>
      </c>
      <c r="B422" t="s">
        <v>9</v>
      </c>
      <c r="C422" t="s">
        <v>316</v>
      </c>
    </row>
    <row r="423" spans="1:3" x14ac:dyDescent="0.25">
      <c r="A423" t="str">
        <f>"17852837689087376"</f>
        <v>17852837689087376</v>
      </c>
      <c r="B423" t="s">
        <v>317</v>
      </c>
      <c r="C423" t="s">
        <v>318</v>
      </c>
    </row>
    <row r="424" spans="1:3" x14ac:dyDescent="0.25">
      <c r="A424" t="str">
        <f>"17852841835087376"</f>
        <v>17852841835087376</v>
      </c>
      <c r="B424" t="s">
        <v>319</v>
      </c>
      <c r="C424" t="s">
        <v>320</v>
      </c>
    </row>
    <row r="425" spans="1:3" x14ac:dyDescent="0.25">
      <c r="A425" t="str">
        <f>"17852902657087376"</f>
        <v>17852902657087376</v>
      </c>
      <c r="B425" t="s">
        <v>321</v>
      </c>
      <c r="C425" t="s">
        <v>322</v>
      </c>
    </row>
    <row r="426" spans="1:3" x14ac:dyDescent="0.25">
      <c r="A426" t="str">
        <f>"17852920567087376"</f>
        <v>17852920567087376</v>
      </c>
      <c r="B426" t="s">
        <v>323</v>
      </c>
      <c r="C426" t="s">
        <v>324</v>
      </c>
    </row>
    <row r="427" spans="1:3" x14ac:dyDescent="0.25">
      <c r="A427" t="str">
        <f>"17852941276087376"</f>
        <v>17852941276087376</v>
      </c>
      <c r="B427" t="s">
        <v>325</v>
      </c>
      <c r="C427" t="s">
        <v>326</v>
      </c>
    </row>
    <row r="428" spans="1:3" x14ac:dyDescent="0.25">
      <c r="A428" t="str">
        <f>"17853014641087376"</f>
        <v>17853014641087376</v>
      </c>
      <c r="B428" t="s">
        <v>58</v>
      </c>
      <c r="C428" t="s">
        <v>327</v>
      </c>
    </row>
    <row r="429" spans="1:3" x14ac:dyDescent="0.25">
      <c r="A429" t="str">
        <f>"17853086755087376"</f>
        <v>17853086755087376</v>
      </c>
      <c r="B429" t="s">
        <v>58</v>
      </c>
      <c r="C429" t="s">
        <v>328</v>
      </c>
    </row>
    <row r="430" spans="1:3" x14ac:dyDescent="0.25">
      <c r="A430" t="str">
        <f>"17843398345139147"</f>
        <v>17843398345139147</v>
      </c>
      <c r="B430" t="s">
        <v>329</v>
      </c>
      <c r="C430" t="s">
        <v>330</v>
      </c>
    </row>
    <row r="431" spans="1:3" x14ac:dyDescent="0.25">
      <c r="A431" t="str">
        <f>"17843428879139147"</f>
        <v>17843428879139147</v>
      </c>
      <c r="B431" t="s">
        <v>331</v>
      </c>
      <c r="C431" t="s">
        <v>332</v>
      </c>
    </row>
    <row r="432" spans="1:3" x14ac:dyDescent="0.25">
      <c r="A432" t="str">
        <f>"17843398345139147"</f>
        <v>17843398345139147</v>
      </c>
      <c r="B432" t="s">
        <v>329</v>
      </c>
      <c r="C432" t="s">
        <v>330</v>
      </c>
    </row>
    <row r="433" spans="1:3" x14ac:dyDescent="0.25">
      <c r="A433" t="str">
        <f>"17843428879139147"</f>
        <v>17843428879139147</v>
      </c>
      <c r="B433" t="s">
        <v>331</v>
      </c>
      <c r="C433" t="s">
        <v>332</v>
      </c>
    </row>
    <row r="434" spans="1:3" x14ac:dyDescent="0.25">
      <c r="A434" t="str">
        <f>"17900213863215219"</f>
        <v>17900213863215219</v>
      </c>
      <c r="B434" t="s">
        <v>333</v>
      </c>
      <c r="C434" t="s">
        <v>334</v>
      </c>
    </row>
    <row r="435" spans="1:3" x14ac:dyDescent="0.25">
      <c r="A435" t="str">
        <f>"17900213863215219"</f>
        <v>17900213863215219</v>
      </c>
      <c r="B435" t="s">
        <v>333</v>
      </c>
      <c r="C435" t="s">
        <v>334</v>
      </c>
    </row>
    <row r="436" spans="1:3" x14ac:dyDescent="0.25">
      <c r="A436" t="str">
        <f>"17844017173173538"</f>
        <v>17844017173173538</v>
      </c>
      <c r="B436" t="s">
        <v>85</v>
      </c>
      <c r="C436" t="s">
        <v>335</v>
      </c>
    </row>
    <row r="437" spans="1:3" x14ac:dyDescent="0.25">
      <c r="A437" t="str">
        <f>"17844017173173538"</f>
        <v>17844017173173538</v>
      </c>
      <c r="B437" t="s">
        <v>85</v>
      </c>
      <c r="C437" t="s">
        <v>335</v>
      </c>
    </row>
    <row r="438" spans="1:3" x14ac:dyDescent="0.25">
      <c r="A438" t="str">
        <f>"17856447949074083"</f>
        <v>17856447949074083</v>
      </c>
      <c r="B438" t="s">
        <v>336</v>
      </c>
      <c r="C438" t="s">
        <v>337</v>
      </c>
    </row>
    <row r="439" spans="1:3" x14ac:dyDescent="0.25">
      <c r="A439" t="str">
        <f>"17856447949074083"</f>
        <v>17856447949074083</v>
      </c>
      <c r="B439" t="s">
        <v>336</v>
      </c>
      <c r="C439" t="s">
        <v>337</v>
      </c>
    </row>
    <row r="440" spans="1:3" x14ac:dyDescent="0.25">
      <c r="A440" t="str">
        <f>"17859140608064902"</f>
        <v>17859140608064902</v>
      </c>
      <c r="B440" t="s">
        <v>338</v>
      </c>
      <c r="C440" t="s">
        <v>339</v>
      </c>
    </row>
    <row r="441" spans="1:3" x14ac:dyDescent="0.25">
      <c r="A441" t="str">
        <f>"17859140608064902"</f>
        <v>17859140608064902</v>
      </c>
      <c r="B441" t="s">
        <v>338</v>
      </c>
      <c r="C441" t="s">
        <v>339</v>
      </c>
    </row>
    <row r="442" spans="1:3" x14ac:dyDescent="0.25">
      <c r="A442" t="str">
        <f>"17864564086032570"</f>
        <v>17864564086032570</v>
      </c>
      <c r="B442" t="s">
        <v>340</v>
      </c>
      <c r="C442" t="s">
        <v>341</v>
      </c>
    </row>
    <row r="443" spans="1:3" x14ac:dyDescent="0.25">
      <c r="A443" t="str">
        <f>"17843888317156725"</f>
        <v>17843888317156725</v>
      </c>
      <c r="B443" t="s">
        <v>285</v>
      </c>
      <c r="C443" t="s">
        <v>342</v>
      </c>
    </row>
    <row r="444" spans="1:3" x14ac:dyDescent="0.25">
      <c r="A444" t="str">
        <f>"17843935534193436"</f>
        <v>17843935534193436</v>
      </c>
      <c r="B444" t="s">
        <v>343</v>
      </c>
      <c r="C444" t="s">
        <v>344</v>
      </c>
    </row>
    <row r="445" spans="1:3" x14ac:dyDescent="0.25">
      <c r="A445" t="str">
        <f>"17864564086032570"</f>
        <v>17864564086032570</v>
      </c>
      <c r="B445" t="s">
        <v>340</v>
      </c>
      <c r="C445" t="s">
        <v>341</v>
      </c>
    </row>
    <row r="446" spans="1:3" x14ac:dyDescent="0.25">
      <c r="A446" t="str">
        <f>"17843888317156725"</f>
        <v>17843888317156725</v>
      </c>
      <c r="B446" t="s">
        <v>285</v>
      </c>
      <c r="C446" t="s">
        <v>342</v>
      </c>
    </row>
    <row r="447" spans="1:3" x14ac:dyDescent="0.25">
      <c r="A447" t="str">
        <f>"17843935534193436"</f>
        <v>17843935534193436</v>
      </c>
      <c r="B447" t="s">
        <v>343</v>
      </c>
      <c r="C447" t="s">
        <v>344</v>
      </c>
    </row>
    <row r="448" spans="1:3" x14ac:dyDescent="0.25">
      <c r="A448" t="str">
        <f>"17855274805114986"</f>
        <v>17855274805114986</v>
      </c>
      <c r="B448" t="s">
        <v>345</v>
      </c>
      <c r="C448" t="s">
        <v>346</v>
      </c>
    </row>
    <row r="449" spans="1:3" x14ac:dyDescent="0.25">
      <c r="A449" t="str">
        <f>"17855274805114986"</f>
        <v>17855274805114986</v>
      </c>
      <c r="B449" t="s">
        <v>345</v>
      </c>
      <c r="C449" t="s">
        <v>346</v>
      </c>
    </row>
    <row r="450" spans="1:3" x14ac:dyDescent="0.25">
      <c r="A450" t="str">
        <f>"17865388084003927"</f>
        <v>17865388084003927</v>
      </c>
      <c r="B450" t="s">
        <v>58</v>
      </c>
      <c r="C450" t="s">
        <v>347</v>
      </c>
    </row>
    <row r="451" spans="1:3" x14ac:dyDescent="0.25">
      <c r="A451" t="str">
        <f>"17957554306105163"</f>
        <v>17957554306105163</v>
      </c>
      <c r="B451" t="s">
        <v>348</v>
      </c>
      <c r="C451" t="s">
        <v>349</v>
      </c>
    </row>
    <row r="452" spans="1:3" x14ac:dyDescent="0.25">
      <c r="A452" t="str">
        <f>"17957554306105163"</f>
        <v>17957554306105163</v>
      </c>
      <c r="B452" t="s">
        <v>348</v>
      </c>
      <c r="C452" t="s">
        <v>349</v>
      </c>
    </row>
    <row r="453" spans="1:3" x14ac:dyDescent="0.25">
      <c r="A453" t="str">
        <f>"17957554306105163"</f>
        <v>17957554306105163</v>
      </c>
      <c r="B453" t="s">
        <v>348</v>
      </c>
      <c r="C453" t="s">
        <v>349</v>
      </c>
    </row>
    <row r="454" spans="1:3" x14ac:dyDescent="0.25">
      <c r="A454" t="str">
        <f>"17865065569273729"</f>
        <v>17865065569273729</v>
      </c>
      <c r="B454" t="s">
        <v>80</v>
      </c>
      <c r="C454" t="s">
        <v>350</v>
      </c>
    </row>
    <row r="455" spans="1:3" x14ac:dyDescent="0.25">
      <c r="A455" t="str">
        <f>"17865065569273729"</f>
        <v>17865065569273729</v>
      </c>
      <c r="B455" t="s">
        <v>80</v>
      </c>
      <c r="C455" t="s">
        <v>350</v>
      </c>
    </row>
    <row r="456" spans="1:3" x14ac:dyDescent="0.25">
      <c r="A456" t="str">
        <f>"17975760508017337"</f>
        <v>17975760508017337</v>
      </c>
      <c r="B456" t="s">
        <v>351</v>
      </c>
      <c r="C456" t="s">
        <v>352</v>
      </c>
    </row>
    <row r="457" spans="1:3" x14ac:dyDescent="0.25">
      <c r="A457" t="str">
        <f>"17975760508017337"</f>
        <v>17975760508017337</v>
      </c>
      <c r="B457" t="s">
        <v>351</v>
      </c>
      <c r="C457" t="s">
        <v>352</v>
      </c>
    </row>
    <row r="458" spans="1:3" x14ac:dyDescent="0.25">
      <c r="A458" t="str">
        <f>"17865716836019665"</f>
        <v>17865716836019665</v>
      </c>
      <c r="B458" t="s">
        <v>353</v>
      </c>
      <c r="C458" t="s">
        <v>354</v>
      </c>
    </row>
    <row r="459" spans="1:3" x14ac:dyDescent="0.25">
      <c r="A459" t="str">
        <f>"17855568703096390"</f>
        <v>17855568703096390</v>
      </c>
      <c r="B459" t="s">
        <v>355</v>
      </c>
      <c r="C459" t="s">
        <v>356</v>
      </c>
    </row>
    <row r="460" spans="1:3" x14ac:dyDescent="0.25">
      <c r="A460" t="str">
        <f>"17865646930046226"</f>
        <v>17865646930046226</v>
      </c>
      <c r="B460" t="s">
        <v>58</v>
      </c>
      <c r="C460" t="s">
        <v>357</v>
      </c>
    </row>
    <row r="461" spans="1:3" x14ac:dyDescent="0.25">
      <c r="A461" t="str">
        <f>"17855482729127726"</f>
        <v>17855482729127726</v>
      </c>
      <c r="B461" t="s">
        <v>80</v>
      </c>
      <c r="C461" t="s">
        <v>358</v>
      </c>
    </row>
    <row r="462" spans="1:3" x14ac:dyDescent="0.25">
      <c r="A462" t="str">
        <f>"17854882444083751"</f>
        <v>17854882444083751</v>
      </c>
      <c r="B462" t="s">
        <v>9</v>
      </c>
      <c r="C462" t="s">
        <v>359</v>
      </c>
    </row>
    <row r="463" spans="1:3" x14ac:dyDescent="0.25">
      <c r="A463" t="str">
        <f>"17865716836019665"</f>
        <v>17865716836019665</v>
      </c>
      <c r="B463" t="s">
        <v>353</v>
      </c>
      <c r="C463" t="s">
        <v>354</v>
      </c>
    </row>
    <row r="464" spans="1:3" x14ac:dyDescent="0.25">
      <c r="A464" t="str">
        <f>"17855568703096390"</f>
        <v>17855568703096390</v>
      </c>
      <c r="B464" t="s">
        <v>355</v>
      </c>
      <c r="C464" t="s">
        <v>356</v>
      </c>
    </row>
    <row r="465" spans="1:3" x14ac:dyDescent="0.25">
      <c r="A465" t="str">
        <f>"17865646930046226"</f>
        <v>17865646930046226</v>
      </c>
      <c r="B465" t="s">
        <v>58</v>
      </c>
      <c r="C465" t="s">
        <v>357</v>
      </c>
    </row>
    <row r="466" spans="1:3" x14ac:dyDescent="0.25">
      <c r="A466" t="str">
        <f>"17855482729127726"</f>
        <v>17855482729127726</v>
      </c>
      <c r="B466" t="s">
        <v>80</v>
      </c>
      <c r="C466" t="s">
        <v>358</v>
      </c>
    </row>
    <row r="467" spans="1:3" x14ac:dyDescent="0.25">
      <c r="A467" t="str">
        <f>"17854882444083751"</f>
        <v>17854882444083751</v>
      </c>
      <c r="B467" t="s">
        <v>9</v>
      </c>
      <c r="C467" t="s">
        <v>359</v>
      </c>
    </row>
    <row r="468" spans="1:3" x14ac:dyDescent="0.25">
      <c r="A468" t="str">
        <f>"17854491400087335"</f>
        <v>17854491400087335</v>
      </c>
      <c r="B468" t="s">
        <v>9</v>
      </c>
      <c r="C468" t="s">
        <v>360</v>
      </c>
    </row>
    <row r="469" spans="1:3" x14ac:dyDescent="0.25">
      <c r="A469" t="str">
        <f>"17855225335120464"</f>
        <v>17855225335120464</v>
      </c>
      <c r="B469" t="s">
        <v>361</v>
      </c>
      <c r="C469" t="s">
        <v>362</v>
      </c>
    </row>
    <row r="470" spans="1:3" x14ac:dyDescent="0.25">
      <c r="A470" t="str">
        <f>"17854491400087335"</f>
        <v>17854491400087335</v>
      </c>
      <c r="B470" t="s">
        <v>9</v>
      </c>
      <c r="C470" t="s">
        <v>360</v>
      </c>
    </row>
    <row r="471" spans="1:3" x14ac:dyDescent="0.25">
      <c r="A471" t="str">
        <f>"17855225335120464"</f>
        <v>17855225335120464</v>
      </c>
      <c r="B471" t="s">
        <v>361</v>
      </c>
      <c r="C471" t="s">
        <v>362</v>
      </c>
    </row>
    <row r="472" spans="1:3" x14ac:dyDescent="0.25">
      <c r="A472" t="str">
        <f>"17866541353028685"</f>
        <v>17866541353028685</v>
      </c>
      <c r="B472" t="s">
        <v>58</v>
      </c>
      <c r="C472" t="s">
        <v>363</v>
      </c>
    </row>
    <row r="473" spans="1:3" x14ac:dyDescent="0.25">
      <c r="A473" t="str">
        <f>"17860313815065902"</f>
        <v>17860313815065902</v>
      </c>
      <c r="B473" t="s">
        <v>364</v>
      </c>
      <c r="C473" t="s">
        <v>365</v>
      </c>
    </row>
    <row r="474" spans="1:3" x14ac:dyDescent="0.25">
      <c r="A474" t="str">
        <f>"17860313815065902"</f>
        <v>17860313815065902</v>
      </c>
      <c r="B474" t="s">
        <v>364</v>
      </c>
      <c r="C474" t="s">
        <v>365</v>
      </c>
    </row>
    <row r="475" spans="1:3" x14ac:dyDescent="0.25">
      <c r="A475" t="str">
        <f>"17959959823090881"</f>
        <v>17959959823090881</v>
      </c>
      <c r="B475" t="s">
        <v>366</v>
      </c>
      <c r="C475" t="s">
        <v>367</v>
      </c>
    </row>
    <row r="476" spans="1:3" x14ac:dyDescent="0.25">
      <c r="A476" t="str">
        <f>"17959959823090881"</f>
        <v>17959959823090881</v>
      </c>
      <c r="B476" t="s">
        <v>366</v>
      </c>
      <c r="C476" t="s">
        <v>367</v>
      </c>
    </row>
    <row r="477" spans="1:3" x14ac:dyDescent="0.25">
      <c r="A477" t="str">
        <f>"17959959823090881"</f>
        <v>17959959823090881</v>
      </c>
      <c r="B477" t="s">
        <v>366</v>
      </c>
      <c r="C477" t="s">
        <v>367</v>
      </c>
    </row>
    <row r="478" spans="1:3" x14ac:dyDescent="0.25">
      <c r="A478" t="str">
        <f>"17980026112003396"</f>
        <v>17980026112003396</v>
      </c>
      <c r="B478" t="s">
        <v>368</v>
      </c>
      <c r="C478" t="s">
        <v>369</v>
      </c>
    </row>
    <row r="479" spans="1:3" x14ac:dyDescent="0.25">
      <c r="A479" t="str">
        <f>"17980026112003396"</f>
        <v>17980026112003396</v>
      </c>
      <c r="B479" t="s">
        <v>368</v>
      </c>
      <c r="C479" t="s">
        <v>369</v>
      </c>
    </row>
    <row r="480" spans="1:3" x14ac:dyDescent="0.25">
      <c r="A480" t="str">
        <f>"17866798798027419"</f>
        <v>17866798798027419</v>
      </c>
      <c r="B480" t="s">
        <v>370</v>
      </c>
      <c r="C480" t="s">
        <v>371</v>
      </c>
    </row>
    <row r="481" spans="1:3" x14ac:dyDescent="0.25">
      <c r="A481" t="str">
        <f>"17866798798027419"</f>
        <v>17866798798027419</v>
      </c>
      <c r="B481" t="s">
        <v>370</v>
      </c>
      <c r="C481" t="s">
        <v>371</v>
      </c>
    </row>
    <row r="482" spans="1:3" x14ac:dyDescent="0.25">
      <c r="A482" t="str">
        <f>"17854880788082809"</f>
        <v>17854880788082809</v>
      </c>
      <c r="B482" t="s">
        <v>372</v>
      </c>
      <c r="C482" t="s">
        <v>373</v>
      </c>
    </row>
    <row r="483" spans="1:3" x14ac:dyDescent="0.25">
      <c r="A483" t="str">
        <f>"17854880788082809"</f>
        <v>17854880788082809</v>
      </c>
      <c r="B483" t="s">
        <v>372</v>
      </c>
      <c r="C483" t="s">
        <v>373</v>
      </c>
    </row>
    <row r="484" spans="1:3" x14ac:dyDescent="0.25">
      <c r="A484" t="str">
        <f>"17854880788082809"</f>
        <v>17854880788082809</v>
      </c>
      <c r="B484" t="s">
        <v>372</v>
      </c>
      <c r="C484" t="s">
        <v>373</v>
      </c>
    </row>
    <row r="485" spans="1:3" x14ac:dyDescent="0.25">
      <c r="A485" t="str">
        <f>"17866030276054327"</f>
        <v>17866030276054327</v>
      </c>
      <c r="B485" t="s">
        <v>3</v>
      </c>
      <c r="C485" t="s">
        <v>374</v>
      </c>
    </row>
    <row r="486" spans="1:3" x14ac:dyDescent="0.25">
      <c r="A486" t="str">
        <f>"17867985592047496"</f>
        <v>17867985592047496</v>
      </c>
      <c r="B486" t="s">
        <v>375</v>
      </c>
      <c r="C486" t="s">
        <v>376</v>
      </c>
    </row>
    <row r="487" spans="1:3" x14ac:dyDescent="0.25">
      <c r="A487" t="str">
        <f>"17854902319088193"</f>
        <v>17854902319088193</v>
      </c>
      <c r="B487" t="s">
        <v>259</v>
      </c>
      <c r="C487" t="s">
        <v>377</v>
      </c>
    </row>
    <row r="488" spans="1:3" x14ac:dyDescent="0.25">
      <c r="A488" t="str">
        <f>"17857559974078898"</f>
        <v>17857559974078898</v>
      </c>
      <c r="B488" t="s">
        <v>9</v>
      </c>
      <c r="C488" t="s">
        <v>378</v>
      </c>
    </row>
    <row r="489" spans="1:3" x14ac:dyDescent="0.25">
      <c r="A489" t="str">
        <f>"17866030276054327"</f>
        <v>17866030276054327</v>
      </c>
      <c r="B489" t="s">
        <v>3</v>
      </c>
      <c r="C489" t="s">
        <v>374</v>
      </c>
    </row>
    <row r="490" spans="1:3" x14ac:dyDescent="0.25">
      <c r="A490" t="str">
        <f>"17867985592047496"</f>
        <v>17867985592047496</v>
      </c>
      <c r="B490" t="s">
        <v>375</v>
      </c>
      <c r="C490" t="s">
        <v>376</v>
      </c>
    </row>
    <row r="491" spans="1:3" x14ac:dyDescent="0.25">
      <c r="A491" t="str">
        <f>"17854902319088193"</f>
        <v>17854902319088193</v>
      </c>
      <c r="B491" t="s">
        <v>259</v>
      </c>
      <c r="C491" t="s">
        <v>377</v>
      </c>
    </row>
    <row r="492" spans="1:3" x14ac:dyDescent="0.25">
      <c r="A492" t="str">
        <f>"17857559974078898"</f>
        <v>17857559974078898</v>
      </c>
      <c r="B492" t="s">
        <v>9</v>
      </c>
      <c r="C492" t="s">
        <v>378</v>
      </c>
    </row>
    <row r="493" spans="1:3" x14ac:dyDescent="0.25">
      <c r="A493" t="str">
        <f>"17866408852042485"</f>
        <v>17866408852042485</v>
      </c>
      <c r="B493" t="s">
        <v>379</v>
      </c>
      <c r="C493" t="s">
        <v>380</v>
      </c>
    </row>
    <row r="494" spans="1:3" x14ac:dyDescent="0.25">
      <c r="A494" t="str">
        <f>"17866408852042485"</f>
        <v>17866408852042485</v>
      </c>
      <c r="B494" t="s">
        <v>379</v>
      </c>
      <c r="C494" t="s">
        <v>380</v>
      </c>
    </row>
    <row r="495" spans="1:3" x14ac:dyDescent="0.25">
      <c r="A495" t="str">
        <f>"17867140393015871"</f>
        <v>17867140393015871</v>
      </c>
      <c r="B495" t="s">
        <v>381</v>
      </c>
      <c r="C495" t="s">
        <v>382</v>
      </c>
    </row>
    <row r="496" spans="1:3" x14ac:dyDescent="0.25">
      <c r="A496" t="str">
        <f>"17845245325184292"</f>
        <v>17845245325184292</v>
      </c>
      <c r="B496" t="s">
        <v>383</v>
      </c>
      <c r="C496" t="s">
        <v>384</v>
      </c>
    </row>
    <row r="497" spans="1:3" x14ac:dyDescent="0.25">
      <c r="A497" t="str">
        <f>"17845245325184292"</f>
        <v>17845245325184292</v>
      </c>
      <c r="B497" t="s">
        <v>383</v>
      </c>
      <c r="C497" t="s">
        <v>384</v>
      </c>
    </row>
    <row r="498" spans="1:3" x14ac:dyDescent="0.25">
      <c r="A498" t="str">
        <f>"17977870366052921"</f>
        <v>17977870366052921</v>
      </c>
      <c r="B498" t="s">
        <v>385</v>
      </c>
      <c r="C498" t="s">
        <v>386</v>
      </c>
    </row>
    <row r="499" spans="1:3" x14ac:dyDescent="0.25">
      <c r="A499" t="str">
        <f>"17974724470070337"</f>
        <v>17974724470070337</v>
      </c>
      <c r="B499" t="s">
        <v>387</v>
      </c>
      <c r="C499" t="s">
        <v>388</v>
      </c>
    </row>
    <row r="500" spans="1:3" x14ac:dyDescent="0.25">
      <c r="A500" t="str">
        <f>"17890702444248146"</f>
        <v>17890702444248146</v>
      </c>
      <c r="B500" t="s">
        <v>58</v>
      </c>
      <c r="C500" t="s">
        <v>389</v>
      </c>
    </row>
    <row r="501" spans="1:3" x14ac:dyDescent="0.25">
      <c r="A501" t="str">
        <f>"17943122137197173"</f>
        <v>17943122137197173</v>
      </c>
      <c r="B501" t="s">
        <v>66</v>
      </c>
      <c r="C501" t="s">
        <v>390</v>
      </c>
    </row>
    <row r="502" spans="1:3" x14ac:dyDescent="0.25">
      <c r="A502" t="str">
        <f>"17844871183176910"</f>
        <v>17844871183176910</v>
      </c>
      <c r="B502" t="s">
        <v>391</v>
      </c>
      <c r="C502" t="s">
        <v>392</v>
      </c>
    </row>
    <row r="503" spans="1:3" x14ac:dyDescent="0.25">
      <c r="A503" t="str">
        <f>"17844871183176910"</f>
        <v>17844871183176910</v>
      </c>
      <c r="B503" t="s">
        <v>391</v>
      </c>
      <c r="C503" t="s">
        <v>392</v>
      </c>
    </row>
    <row r="504" spans="1:3" x14ac:dyDescent="0.25">
      <c r="A504" t="str">
        <f>"17868763933029357"</f>
        <v>17868763933029357</v>
      </c>
      <c r="B504" t="s">
        <v>393</v>
      </c>
      <c r="C504" t="s">
        <v>394</v>
      </c>
    </row>
    <row r="505" spans="1:3" x14ac:dyDescent="0.25">
      <c r="A505" t="str">
        <f>"17858193085117520"</f>
        <v>17858193085117520</v>
      </c>
      <c r="B505" t="s">
        <v>255</v>
      </c>
      <c r="C505" t="s">
        <v>395</v>
      </c>
    </row>
    <row r="506" spans="1:3" x14ac:dyDescent="0.25">
      <c r="A506" t="str">
        <f>"17869933642011364"</f>
        <v>17869933642011364</v>
      </c>
      <c r="B506" t="s">
        <v>396</v>
      </c>
      <c r="C506" t="s">
        <v>397</v>
      </c>
    </row>
    <row r="507" spans="1:3" x14ac:dyDescent="0.25">
      <c r="A507" t="str">
        <f>"17868698284016224"</f>
        <v>17868698284016224</v>
      </c>
      <c r="B507" t="s">
        <v>398</v>
      </c>
      <c r="C507" t="s">
        <v>399</v>
      </c>
    </row>
    <row r="508" spans="1:3" x14ac:dyDescent="0.25">
      <c r="A508" t="str">
        <f>"17847899413142991"</f>
        <v>17847899413142991</v>
      </c>
      <c r="B508" t="s">
        <v>400</v>
      </c>
      <c r="C508" t="s">
        <v>401</v>
      </c>
    </row>
    <row r="509" spans="1:3" x14ac:dyDescent="0.25">
      <c r="A509" t="str">
        <f>"17868763933029357"</f>
        <v>17868763933029357</v>
      </c>
      <c r="B509" t="s">
        <v>393</v>
      </c>
      <c r="C509" t="s">
        <v>394</v>
      </c>
    </row>
    <row r="510" spans="1:3" x14ac:dyDescent="0.25">
      <c r="A510" t="str">
        <f>"17858193085117520"</f>
        <v>17858193085117520</v>
      </c>
      <c r="B510" t="s">
        <v>255</v>
      </c>
      <c r="C510" t="s">
        <v>395</v>
      </c>
    </row>
    <row r="511" spans="1:3" x14ac:dyDescent="0.25">
      <c r="A511" t="str">
        <f>"17869933642011364"</f>
        <v>17869933642011364</v>
      </c>
      <c r="B511" t="s">
        <v>396</v>
      </c>
      <c r="C511" t="s">
        <v>397</v>
      </c>
    </row>
    <row r="512" spans="1:3" x14ac:dyDescent="0.25">
      <c r="A512" t="str">
        <f>"17868698284016224"</f>
        <v>17868698284016224</v>
      </c>
      <c r="B512" t="s">
        <v>398</v>
      </c>
      <c r="C512" t="s">
        <v>399</v>
      </c>
    </row>
    <row r="513" spans="1:3" x14ac:dyDescent="0.25">
      <c r="A513" t="str">
        <f>"17847899413142991"</f>
        <v>17847899413142991</v>
      </c>
      <c r="B513" t="s">
        <v>400</v>
      </c>
      <c r="C513" t="s">
        <v>401</v>
      </c>
    </row>
    <row r="514" spans="1:3" x14ac:dyDescent="0.25">
      <c r="A514" t="str">
        <f>"17868763933029357"</f>
        <v>17868763933029357</v>
      </c>
      <c r="B514" t="s">
        <v>393</v>
      </c>
      <c r="C514" t="s">
        <v>394</v>
      </c>
    </row>
    <row r="515" spans="1:3" x14ac:dyDescent="0.25">
      <c r="A515" t="str">
        <f>"17858193085117520"</f>
        <v>17858193085117520</v>
      </c>
      <c r="B515" t="s">
        <v>255</v>
      </c>
      <c r="C515" t="s">
        <v>395</v>
      </c>
    </row>
    <row r="516" spans="1:3" x14ac:dyDescent="0.25">
      <c r="A516" t="str">
        <f>"17869933642011364"</f>
        <v>17869933642011364</v>
      </c>
      <c r="B516" t="s">
        <v>396</v>
      </c>
      <c r="C516" t="s">
        <v>397</v>
      </c>
    </row>
    <row r="517" spans="1:3" x14ac:dyDescent="0.25">
      <c r="A517" t="str">
        <f>"17868698284016224"</f>
        <v>17868698284016224</v>
      </c>
      <c r="B517" t="s">
        <v>398</v>
      </c>
      <c r="C517" t="s">
        <v>399</v>
      </c>
    </row>
    <row r="518" spans="1:3" x14ac:dyDescent="0.25">
      <c r="A518" t="str">
        <f>"17847899413142991"</f>
        <v>17847899413142991</v>
      </c>
      <c r="B518" t="s">
        <v>400</v>
      </c>
      <c r="C518" t="s">
        <v>401</v>
      </c>
    </row>
    <row r="519" spans="1:3" x14ac:dyDescent="0.25">
      <c r="A519" t="str">
        <f>"17846679274173302"</f>
        <v>17846679274173302</v>
      </c>
      <c r="B519" t="s">
        <v>402</v>
      </c>
      <c r="C519" t="s">
        <v>403</v>
      </c>
    </row>
    <row r="520" spans="1:3" x14ac:dyDescent="0.25">
      <c r="A520" t="str">
        <f>"17846679274173302"</f>
        <v>17846679274173302</v>
      </c>
      <c r="B520" t="s">
        <v>402</v>
      </c>
      <c r="C520" t="s">
        <v>403</v>
      </c>
    </row>
    <row r="521" spans="1:3" x14ac:dyDescent="0.25">
      <c r="A521" t="str">
        <f>"17846679274173302"</f>
        <v>17846679274173302</v>
      </c>
      <c r="B521" t="s">
        <v>402</v>
      </c>
      <c r="C521" t="s">
        <v>403</v>
      </c>
    </row>
    <row r="522" spans="1:3" x14ac:dyDescent="0.25">
      <c r="A522" t="str">
        <f>"17857125325088545"</f>
        <v>17857125325088545</v>
      </c>
      <c r="B522" t="s">
        <v>285</v>
      </c>
      <c r="C522" t="s">
        <v>404</v>
      </c>
    </row>
    <row r="523" spans="1:3" x14ac:dyDescent="0.25">
      <c r="A523" t="str">
        <f>"17857125325088545"</f>
        <v>17857125325088545</v>
      </c>
      <c r="B523" t="s">
        <v>285</v>
      </c>
      <c r="C523" t="s">
        <v>404</v>
      </c>
    </row>
    <row r="524" spans="1:3" x14ac:dyDescent="0.25">
      <c r="A524" t="str">
        <f>"17927802151204251"</f>
        <v>17927802151204251</v>
      </c>
      <c r="B524" t="s">
        <v>405</v>
      </c>
      <c r="C524" t="s">
        <v>406</v>
      </c>
    </row>
    <row r="525" spans="1:3" x14ac:dyDescent="0.25">
      <c r="A525" t="str">
        <f>"17927802151204251"</f>
        <v>17927802151204251</v>
      </c>
      <c r="B525" t="s">
        <v>405</v>
      </c>
      <c r="C525" t="s">
        <v>406</v>
      </c>
    </row>
    <row r="526" spans="1:3" x14ac:dyDescent="0.25">
      <c r="A526" t="str">
        <f>"17927802151204251"</f>
        <v>17927802151204251</v>
      </c>
      <c r="B526" t="s">
        <v>405</v>
      </c>
      <c r="C526" t="s">
        <v>406</v>
      </c>
    </row>
    <row r="527" spans="1:3" x14ac:dyDescent="0.25">
      <c r="A527" t="str">
        <f>"17868573205055168"</f>
        <v>17868573205055168</v>
      </c>
      <c r="B527" t="s">
        <v>58</v>
      </c>
      <c r="C527" t="s">
        <v>407</v>
      </c>
    </row>
    <row r="528" spans="1:3" x14ac:dyDescent="0.25">
      <c r="A528" t="str">
        <f>"17867711746049813"</f>
        <v>17867711746049813</v>
      </c>
      <c r="B528" t="s">
        <v>408</v>
      </c>
      <c r="C528" t="s">
        <v>409</v>
      </c>
    </row>
    <row r="529" spans="1:3" x14ac:dyDescent="0.25">
      <c r="A529" t="str">
        <f>"17868136927013428"</f>
        <v>17868136927013428</v>
      </c>
      <c r="B529" t="s">
        <v>410</v>
      </c>
      <c r="C529" t="s">
        <v>411</v>
      </c>
    </row>
    <row r="530" spans="1:3" x14ac:dyDescent="0.25">
      <c r="A530" t="str">
        <f>"17868136927013428"</f>
        <v>17868136927013428</v>
      </c>
      <c r="B530" t="s">
        <v>410</v>
      </c>
      <c r="C530" t="s">
        <v>411</v>
      </c>
    </row>
    <row r="531" spans="1:3" x14ac:dyDescent="0.25">
      <c r="A531" t="str">
        <f>"17846595244149142"</f>
        <v>17846595244149142</v>
      </c>
      <c r="B531" t="s">
        <v>412</v>
      </c>
      <c r="C531" t="s">
        <v>413</v>
      </c>
    </row>
    <row r="532" spans="1:3" x14ac:dyDescent="0.25">
      <c r="A532" t="str">
        <f>"17856576415085021"</f>
        <v>17856576415085021</v>
      </c>
      <c r="B532" t="s">
        <v>285</v>
      </c>
      <c r="C532" t="s">
        <v>414</v>
      </c>
    </row>
    <row r="533" spans="1:3" x14ac:dyDescent="0.25">
      <c r="A533" t="str">
        <f>"17856576415085021"</f>
        <v>17856576415085021</v>
      </c>
      <c r="B533" t="s">
        <v>285</v>
      </c>
      <c r="C533" t="s">
        <v>414</v>
      </c>
    </row>
    <row r="534" spans="1:3" x14ac:dyDescent="0.25">
      <c r="A534" t="str">
        <f>"17856576415085021"</f>
        <v>17856576415085021</v>
      </c>
      <c r="B534" t="s">
        <v>285</v>
      </c>
      <c r="C534" t="s">
        <v>414</v>
      </c>
    </row>
    <row r="535" spans="1:3" x14ac:dyDescent="0.25">
      <c r="A535" t="str">
        <f>"17856576415085021"</f>
        <v>17856576415085021</v>
      </c>
      <c r="B535" t="s">
        <v>285</v>
      </c>
      <c r="C535" t="s">
        <v>414</v>
      </c>
    </row>
    <row r="536" spans="1:3" x14ac:dyDescent="0.25">
      <c r="A536" t="str">
        <f>"17845782697174943"</f>
        <v>17845782697174943</v>
      </c>
      <c r="B536" t="s">
        <v>415</v>
      </c>
      <c r="C536" t="s">
        <v>416</v>
      </c>
    </row>
    <row r="537" spans="1:3" x14ac:dyDescent="0.25">
      <c r="A537" t="str">
        <f>"17857327834102899"</f>
        <v>17857327834102899</v>
      </c>
      <c r="B537" t="s">
        <v>417</v>
      </c>
      <c r="C537" t="s">
        <v>418</v>
      </c>
    </row>
    <row r="538" spans="1:3" x14ac:dyDescent="0.25">
      <c r="A538" t="str">
        <f>"17846740714140364"</f>
        <v>17846740714140364</v>
      </c>
      <c r="B538" t="s">
        <v>419</v>
      </c>
      <c r="C538" t="s">
        <v>420</v>
      </c>
    </row>
    <row r="539" spans="1:3" x14ac:dyDescent="0.25">
      <c r="A539" t="str">
        <f>"17845782697174943"</f>
        <v>17845782697174943</v>
      </c>
      <c r="B539" t="s">
        <v>415</v>
      </c>
      <c r="C539" t="s">
        <v>416</v>
      </c>
    </row>
    <row r="540" spans="1:3" x14ac:dyDescent="0.25">
      <c r="A540" t="str">
        <f>"17857327834102899"</f>
        <v>17857327834102899</v>
      </c>
      <c r="B540" t="s">
        <v>417</v>
      </c>
      <c r="C540" t="s">
        <v>418</v>
      </c>
    </row>
    <row r="541" spans="1:3" x14ac:dyDescent="0.25">
      <c r="A541" t="str">
        <f>"17846740714140364"</f>
        <v>17846740714140364</v>
      </c>
      <c r="B541" t="s">
        <v>419</v>
      </c>
      <c r="C541" t="s">
        <v>420</v>
      </c>
    </row>
    <row r="542" spans="1:3" x14ac:dyDescent="0.25">
      <c r="A542" t="str">
        <f>"17867418244030563"</f>
        <v>17867418244030563</v>
      </c>
      <c r="B542" t="s">
        <v>421</v>
      </c>
      <c r="C542" t="s">
        <v>422</v>
      </c>
    </row>
    <row r="543" spans="1:3" x14ac:dyDescent="0.25">
      <c r="A543" t="str">
        <f>"17867418244030563"</f>
        <v>17867418244030563</v>
      </c>
      <c r="B543" t="s">
        <v>421</v>
      </c>
      <c r="C543" t="s">
        <v>422</v>
      </c>
    </row>
    <row r="544" spans="1:3" x14ac:dyDescent="0.25">
      <c r="A544" t="str">
        <f>"17867418244030563"</f>
        <v>17867418244030563</v>
      </c>
      <c r="B544" t="s">
        <v>421</v>
      </c>
      <c r="C544" t="s">
        <v>422</v>
      </c>
    </row>
    <row r="545" spans="1:3" x14ac:dyDescent="0.25">
      <c r="A545" t="str">
        <f>"17868990361009654"</f>
        <v>17868990361009654</v>
      </c>
      <c r="B545" t="s">
        <v>423</v>
      </c>
      <c r="C545" t="s">
        <v>424</v>
      </c>
    </row>
    <row r="546" spans="1:3" x14ac:dyDescent="0.25">
      <c r="A546" t="str">
        <f>"17868990361009654"</f>
        <v>17868990361009654</v>
      </c>
      <c r="B546" t="s">
        <v>423</v>
      </c>
      <c r="C546" t="s">
        <v>424</v>
      </c>
    </row>
    <row r="547" spans="1:3" x14ac:dyDescent="0.25">
      <c r="A547" t="str">
        <f>"17856685945095389"</f>
        <v>17856685945095389</v>
      </c>
      <c r="B547" t="s">
        <v>425</v>
      </c>
      <c r="C547" t="s">
        <v>426</v>
      </c>
    </row>
    <row r="548" spans="1:3" x14ac:dyDescent="0.25">
      <c r="A548" t="str">
        <f>"17848107838138187"</f>
        <v>17848107838138187</v>
      </c>
      <c r="B548" t="s">
        <v>427</v>
      </c>
      <c r="C548" t="s">
        <v>428</v>
      </c>
    </row>
    <row r="549" spans="1:3" x14ac:dyDescent="0.25">
      <c r="A549" t="str">
        <f>"17936277598213439"</f>
        <v>17936277598213439</v>
      </c>
      <c r="B549" t="s">
        <v>429</v>
      </c>
      <c r="C549" t="s">
        <v>430</v>
      </c>
    </row>
    <row r="550" spans="1:3" x14ac:dyDescent="0.25">
      <c r="A550" t="str">
        <f>"18000357367079580"</f>
        <v>18000357367079580</v>
      </c>
      <c r="B550" t="s">
        <v>431</v>
      </c>
      <c r="C550" t="s">
        <v>432</v>
      </c>
    </row>
    <row r="551" spans="1:3" x14ac:dyDescent="0.25">
      <c r="A551" t="str">
        <f>"17936277598213439"</f>
        <v>17936277598213439</v>
      </c>
      <c r="B551" t="s">
        <v>429</v>
      </c>
      <c r="C551" t="s">
        <v>430</v>
      </c>
    </row>
    <row r="552" spans="1:3" x14ac:dyDescent="0.25">
      <c r="A552" t="str">
        <f>"18000357367079580"</f>
        <v>18000357367079580</v>
      </c>
      <c r="B552" t="s">
        <v>431</v>
      </c>
      <c r="C552" t="s">
        <v>432</v>
      </c>
    </row>
    <row r="553" spans="1:3" x14ac:dyDescent="0.25">
      <c r="A553" t="str">
        <f>"17871021547025894"</f>
        <v>17871021547025894</v>
      </c>
      <c r="B553" t="s">
        <v>9</v>
      </c>
      <c r="C553" t="s">
        <v>433</v>
      </c>
    </row>
    <row r="554" spans="1:3" x14ac:dyDescent="0.25">
      <c r="A554" t="str">
        <f>"17871021547025894"</f>
        <v>17871021547025894</v>
      </c>
      <c r="B554" t="s">
        <v>9</v>
      </c>
      <c r="C554" t="s">
        <v>433</v>
      </c>
    </row>
    <row r="555" spans="1:3" x14ac:dyDescent="0.25">
      <c r="A555" t="str">
        <f>"17847271006162878"</f>
        <v>17847271006162878</v>
      </c>
      <c r="B555" t="s">
        <v>434</v>
      </c>
      <c r="C555" t="s">
        <v>435</v>
      </c>
    </row>
    <row r="556" spans="1:3" x14ac:dyDescent="0.25">
      <c r="A556" t="str">
        <f>"17859480280100319"</f>
        <v>17859480280100319</v>
      </c>
      <c r="B556" t="s">
        <v>436</v>
      </c>
      <c r="C556" t="s">
        <v>437</v>
      </c>
    </row>
    <row r="557" spans="1:3" x14ac:dyDescent="0.25">
      <c r="A557" t="str">
        <f>"17869021327004652"</f>
        <v>17869021327004652</v>
      </c>
      <c r="B557" t="s">
        <v>438</v>
      </c>
      <c r="C557" t="s">
        <v>439</v>
      </c>
    </row>
    <row r="558" spans="1:3" x14ac:dyDescent="0.25">
      <c r="A558" t="str">
        <f>"17846988598157927"</f>
        <v>17846988598157927</v>
      </c>
      <c r="B558" t="s">
        <v>345</v>
      </c>
      <c r="C558" t="s">
        <v>440</v>
      </c>
    </row>
    <row r="559" spans="1:3" x14ac:dyDescent="0.25">
      <c r="A559" t="str">
        <f>"17868626023008957"</f>
        <v>17868626023008957</v>
      </c>
      <c r="B559" t="s">
        <v>441</v>
      </c>
      <c r="C559" t="s">
        <v>442</v>
      </c>
    </row>
    <row r="560" spans="1:3" x14ac:dyDescent="0.25">
      <c r="A560" t="str">
        <f>"17869021327004652"</f>
        <v>17869021327004652</v>
      </c>
      <c r="B560" t="s">
        <v>438</v>
      </c>
      <c r="C560" t="s">
        <v>439</v>
      </c>
    </row>
    <row r="561" spans="1:3" x14ac:dyDescent="0.25">
      <c r="A561" t="str">
        <f>"17846988598157927"</f>
        <v>17846988598157927</v>
      </c>
      <c r="B561" t="s">
        <v>345</v>
      </c>
      <c r="C561" t="s">
        <v>440</v>
      </c>
    </row>
    <row r="562" spans="1:3" x14ac:dyDescent="0.25">
      <c r="A562" t="str">
        <f>"17868626023008957"</f>
        <v>17868626023008957</v>
      </c>
      <c r="B562" t="s">
        <v>441</v>
      </c>
      <c r="C562" t="s">
        <v>442</v>
      </c>
    </row>
    <row r="563" spans="1:3" x14ac:dyDescent="0.25">
      <c r="A563" t="str">
        <f>"17869021327004652"</f>
        <v>17869021327004652</v>
      </c>
      <c r="B563" t="s">
        <v>438</v>
      </c>
      <c r="C563" t="s">
        <v>439</v>
      </c>
    </row>
    <row r="564" spans="1:3" x14ac:dyDescent="0.25">
      <c r="A564" t="str">
        <f>"17846988598157927"</f>
        <v>17846988598157927</v>
      </c>
      <c r="B564" t="s">
        <v>345</v>
      </c>
      <c r="C564" t="s">
        <v>440</v>
      </c>
    </row>
    <row r="565" spans="1:3" x14ac:dyDescent="0.25">
      <c r="A565" t="str">
        <f>"17868626023008957"</f>
        <v>17868626023008957</v>
      </c>
      <c r="B565" t="s">
        <v>441</v>
      </c>
      <c r="C565" t="s">
        <v>442</v>
      </c>
    </row>
    <row r="566" spans="1:3" x14ac:dyDescent="0.25">
      <c r="A566" t="str">
        <f>"17857558663093964"</f>
        <v>17857558663093964</v>
      </c>
      <c r="B566" t="s">
        <v>443</v>
      </c>
      <c r="C566" t="s">
        <v>444</v>
      </c>
    </row>
    <row r="567" spans="1:3" x14ac:dyDescent="0.25">
      <c r="A567" t="str">
        <f>"17870142979015444"</f>
        <v>17870142979015444</v>
      </c>
      <c r="B567" t="s">
        <v>445</v>
      </c>
      <c r="C567" t="s">
        <v>446</v>
      </c>
    </row>
    <row r="568" spans="1:3" x14ac:dyDescent="0.25">
      <c r="A568" t="str">
        <f>"17847085324191765"</f>
        <v>17847085324191765</v>
      </c>
      <c r="B568" t="s">
        <v>447</v>
      </c>
      <c r="C568" t="s">
        <v>448</v>
      </c>
    </row>
    <row r="569" spans="1:3" x14ac:dyDescent="0.25">
      <c r="A569" t="str">
        <f>"17849094727131768"</f>
        <v>17849094727131768</v>
      </c>
      <c r="B569" t="s">
        <v>303</v>
      </c>
      <c r="C569" t="s">
        <v>449</v>
      </c>
    </row>
    <row r="570" spans="1:3" x14ac:dyDescent="0.25">
      <c r="A570" t="str">
        <f>"17870142979015444"</f>
        <v>17870142979015444</v>
      </c>
      <c r="B570" t="s">
        <v>445</v>
      </c>
      <c r="C570" t="s">
        <v>446</v>
      </c>
    </row>
    <row r="571" spans="1:3" x14ac:dyDescent="0.25">
      <c r="A571" t="str">
        <f>"17847085324191765"</f>
        <v>17847085324191765</v>
      </c>
      <c r="B571" t="s">
        <v>447</v>
      </c>
      <c r="C571" t="s">
        <v>448</v>
      </c>
    </row>
    <row r="572" spans="1:3" x14ac:dyDescent="0.25">
      <c r="A572" t="str">
        <f>"17849094727131768"</f>
        <v>17849094727131768</v>
      </c>
      <c r="B572" t="s">
        <v>303</v>
      </c>
      <c r="C572" t="s">
        <v>449</v>
      </c>
    </row>
    <row r="573" spans="1:3" x14ac:dyDescent="0.25">
      <c r="A573" t="str">
        <f>"17870142979015444"</f>
        <v>17870142979015444</v>
      </c>
      <c r="B573" t="s">
        <v>445</v>
      </c>
      <c r="C573" t="s">
        <v>446</v>
      </c>
    </row>
    <row r="574" spans="1:3" x14ac:dyDescent="0.25">
      <c r="A574" t="str">
        <f>"17847085324191765"</f>
        <v>17847085324191765</v>
      </c>
      <c r="B574" t="s">
        <v>447</v>
      </c>
      <c r="C574" t="s">
        <v>448</v>
      </c>
    </row>
    <row r="575" spans="1:3" x14ac:dyDescent="0.25">
      <c r="A575" t="str">
        <f>"17849094727131768"</f>
        <v>17849094727131768</v>
      </c>
      <c r="B575" t="s">
        <v>303</v>
      </c>
      <c r="C575" t="s">
        <v>449</v>
      </c>
    </row>
    <row r="576" spans="1:3" x14ac:dyDescent="0.25">
      <c r="A576" t="str">
        <f>"17870142979015444"</f>
        <v>17870142979015444</v>
      </c>
      <c r="B576" t="s">
        <v>445</v>
      </c>
      <c r="C576" t="s">
        <v>446</v>
      </c>
    </row>
    <row r="577" spans="1:3" x14ac:dyDescent="0.25">
      <c r="A577" t="str">
        <f>"17847085324191765"</f>
        <v>17847085324191765</v>
      </c>
      <c r="B577" t="s">
        <v>447</v>
      </c>
      <c r="C577" t="s">
        <v>448</v>
      </c>
    </row>
    <row r="578" spans="1:3" x14ac:dyDescent="0.25">
      <c r="A578" t="str">
        <f>"17849094727131768"</f>
        <v>17849094727131768</v>
      </c>
      <c r="B578" t="s">
        <v>303</v>
      </c>
      <c r="C578" t="s">
        <v>449</v>
      </c>
    </row>
    <row r="579" spans="1:3" x14ac:dyDescent="0.25">
      <c r="A579" t="str">
        <f>"17858415064090724"</f>
        <v>17858415064090724</v>
      </c>
      <c r="B579" t="s">
        <v>450</v>
      </c>
      <c r="C579" t="s">
        <v>451</v>
      </c>
    </row>
    <row r="580" spans="1:3" x14ac:dyDescent="0.25">
      <c r="A580" t="str">
        <f>"17858415064090724"</f>
        <v>17858415064090724</v>
      </c>
      <c r="B580" t="s">
        <v>450</v>
      </c>
      <c r="C580" t="s">
        <v>451</v>
      </c>
    </row>
    <row r="581" spans="1:3" x14ac:dyDescent="0.25">
      <c r="A581" t="str">
        <f>"17858415064090724"</f>
        <v>17858415064090724</v>
      </c>
      <c r="B581" t="s">
        <v>450</v>
      </c>
      <c r="C581" t="s">
        <v>451</v>
      </c>
    </row>
    <row r="582" spans="1:3" x14ac:dyDescent="0.25">
      <c r="A582" t="str">
        <f>"17858387608083932"</f>
        <v>17858387608083932</v>
      </c>
      <c r="B582" t="s">
        <v>452</v>
      </c>
      <c r="C582" t="s">
        <v>453</v>
      </c>
    </row>
    <row r="583" spans="1:3" x14ac:dyDescent="0.25">
      <c r="A583" t="str">
        <f>"17847980158161058"</f>
        <v>17847980158161058</v>
      </c>
      <c r="B583" t="s">
        <v>454</v>
      </c>
      <c r="C583" t="s">
        <v>455</v>
      </c>
    </row>
    <row r="584" spans="1:3" x14ac:dyDescent="0.25">
      <c r="A584" t="str">
        <f>"17858387608083932"</f>
        <v>17858387608083932</v>
      </c>
      <c r="B584" t="s">
        <v>452</v>
      </c>
      <c r="C584" t="s">
        <v>453</v>
      </c>
    </row>
    <row r="585" spans="1:3" x14ac:dyDescent="0.25">
      <c r="A585" t="str">
        <f>"17847980158161058"</f>
        <v>17847980158161058</v>
      </c>
      <c r="B585" t="s">
        <v>454</v>
      </c>
      <c r="C585" t="s">
        <v>455</v>
      </c>
    </row>
    <row r="586" spans="1:3" x14ac:dyDescent="0.25">
      <c r="A586" t="str">
        <f>"17872090537028649"</f>
        <v>17872090537028649</v>
      </c>
      <c r="B586" t="s">
        <v>456</v>
      </c>
      <c r="C586" t="s">
        <v>457</v>
      </c>
    </row>
    <row r="587" spans="1:3" x14ac:dyDescent="0.25">
      <c r="A587" t="str">
        <f>"17870511046011272"</f>
        <v>17870511046011272</v>
      </c>
      <c r="B587" t="s">
        <v>259</v>
      </c>
      <c r="C587" t="s">
        <v>458</v>
      </c>
    </row>
    <row r="588" spans="1:3" x14ac:dyDescent="0.25">
      <c r="A588" t="str">
        <f>"17870708569005469"</f>
        <v>17870708569005469</v>
      </c>
      <c r="B588" t="s">
        <v>296</v>
      </c>
      <c r="C588" t="s">
        <v>459</v>
      </c>
    </row>
    <row r="589" spans="1:3" x14ac:dyDescent="0.25">
      <c r="A589" t="str">
        <f>"17861805412076826"</f>
        <v>17861805412076826</v>
      </c>
      <c r="B589" t="s">
        <v>58</v>
      </c>
      <c r="C589" t="s">
        <v>460</v>
      </c>
    </row>
    <row r="590" spans="1:3" x14ac:dyDescent="0.25">
      <c r="A590" t="str">
        <f>"17871177868059499"</f>
        <v>17871177868059499</v>
      </c>
      <c r="B590" t="s">
        <v>461</v>
      </c>
      <c r="C590" t="s">
        <v>462</v>
      </c>
    </row>
    <row r="591" spans="1:3" x14ac:dyDescent="0.25">
      <c r="A591" t="str">
        <f>"17872090537028649"</f>
        <v>17872090537028649</v>
      </c>
      <c r="B591" t="s">
        <v>456</v>
      </c>
      <c r="C591" t="s">
        <v>457</v>
      </c>
    </row>
    <row r="592" spans="1:3" x14ac:dyDescent="0.25">
      <c r="A592" t="str">
        <f>"17870511046011272"</f>
        <v>17870511046011272</v>
      </c>
      <c r="B592" t="s">
        <v>259</v>
      </c>
      <c r="C592" t="s">
        <v>458</v>
      </c>
    </row>
    <row r="593" spans="1:3" x14ac:dyDescent="0.25">
      <c r="A593" t="str">
        <f>"17870708569005469"</f>
        <v>17870708569005469</v>
      </c>
      <c r="B593" t="s">
        <v>296</v>
      </c>
      <c r="C593" t="s">
        <v>459</v>
      </c>
    </row>
    <row r="594" spans="1:3" x14ac:dyDescent="0.25">
      <c r="A594" t="str">
        <f>"17861805412076826"</f>
        <v>17861805412076826</v>
      </c>
      <c r="B594" t="s">
        <v>58</v>
      </c>
      <c r="C594" t="s">
        <v>460</v>
      </c>
    </row>
    <row r="595" spans="1:3" x14ac:dyDescent="0.25">
      <c r="A595" t="str">
        <f>"17871177868059499"</f>
        <v>17871177868059499</v>
      </c>
      <c r="B595" t="s">
        <v>461</v>
      </c>
      <c r="C595" t="s">
        <v>462</v>
      </c>
    </row>
    <row r="596" spans="1:3" x14ac:dyDescent="0.25">
      <c r="A596" t="str">
        <f>"17850808807151709"</f>
        <v>17850808807151709</v>
      </c>
      <c r="B596" t="s">
        <v>463</v>
      </c>
      <c r="C596" t="s">
        <v>464</v>
      </c>
    </row>
    <row r="597" spans="1:3" x14ac:dyDescent="0.25">
      <c r="A597" t="str">
        <f>"17850808807151709"</f>
        <v>17850808807151709</v>
      </c>
      <c r="B597" t="s">
        <v>463</v>
      </c>
      <c r="C597" t="s">
        <v>464</v>
      </c>
    </row>
    <row r="598" spans="1:3" x14ac:dyDescent="0.25">
      <c r="A598" t="str">
        <f>"17850787576148694"</f>
        <v>17850787576148694</v>
      </c>
      <c r="B598" t="s">
        <v>465</v>
      </c>
      <c r="C598" t="s">
        <v>466</v>
      </c>
    </row>
    <row r="599" spans="1:3" x14ac:dyDescent="0.25">
      <c r="A599" t="str">
        <f>"17862465301129563"</f>
        <v>17862465301129563</v>
      </c>
      <c r="B599" t="s">
        <v>467</v>
      </c>
      <c r="C599" t="s">
        <v>468</v>
      </c>
    </row>
    <row r="600" spans="1:3" x14ac:dyDescent="0.25">
      <c r="A600" t="str">
        <f>"17850787576148694"</f>
        <v>17850787576148694</v>
      </c>
      <c r="B600" t="s">
        <v>465</v>
      </c>
      <c r="C600" t="s">
        <v>466</v>
      </c>
    </row>
    <row r="601" spans="1:3" x14ac:dyDescent="0.25">
      <c r="A601" t="str">
        <f>"17862465301129563"</f>
        <v>17862465301129563</v>
      </c>
      <c r="B601" t="s">
        <v>467</v>
      </c>
      <c r="C601" t="s">
        <v>468</v>
      </c>
    </row>
    <row r="602" spans="1:3" x14ac:dyDescent="0.25">
      <c r="A602" t="str">
        <f>"17861636503124706"</f>
        <v>17861636503124706</v>
      </c>
      <c r="B602" t="s">
        <v>469</v>
      </c>
      <c r="C602" t="s">
        <v>470</v>
      </c>
    </row>
    <row r="603" spans="1:3" x14ac:dyDescent="0.25">
      <c r="A603" t="str">
        <f>"17860894330084692"</f>
        <v>17860894330084692</v>
      </c>
      <c r="B603" t="s">
        <v>471</v>
      </c>
      <c r="C603" t="s">
        <v>472</v>
      </c>
    </row>
    <row r="604" spans="1:3" x14ac:dyDescent="0.25">
      <c r="A604" t="str">
        <f>"17860793452083447"</f>
        <v>17860793452083447</v>
      </c>
      <c r="B604" t="s">
        <v>473</v>
      </c>
      <c r="C604" t="s">
        <v>474</v>
      </c>
    </row>
    <row r="605" spans="1:3" x14ac:dyDescent="0.25">
      <c r="A605" t="str">
        <f>"17850963373153786"</f>
        <v>17850963373153786</v>
      </c>
      <c r="B605" t="s">
        <v>475</v>
      </c>
      <c r="C605" t="s">
        <v>476</v>
      </c>
    </row>
    <row r="606" spans="1:3" x14ac:dyDescent="0.25">
      <c r="A606" t="str">
        <f>"17861636503124706"</f>
        <v>17861636503124706</v>
      </c>
      <c r="B606" t="s">
        <v>469</v>
      </c>
      <c r="C606" t="s">
        <v>470</v>
      </c>
    </row>
    <row r="607" spans="1:3" x14ac:dyDescent="0.25">
      <c r="A607" t="str">
        <f>"17860894330084692"</f>
        <v>17860894330084692</v>
      </c>
      <c r="B607" t="s">
        <v>471</v>
      </c>
      <c r="C607" t="s">
        <v>472</v>
      </c>
    </row>
    <row r="608" spans="1:3" x14ac:dyDescent="0.25">
      <c r="A608" t="str">
        <f>"17860793452083447"</f>
        <v>17860793452083447</v>
      </c>
      <c r="B608" t="s">
        <v>473</v>
      </c>
      <c r="C608" t="s">
        <v>474</v>
      </c>
    </row>
    <row r="609" spans="1:3" x14ac:dyDescent="0.25">
      <c r="A609" t="str">
        <f>"17850963373153786"</f>
        <v>17850963373153786</v>
      </c>
      <c r="B609" t="s">
        <v>475</v>
      </c>
      <c r="C609" t="s">
        <v>476</v>
      </c>
    </row>
    <row r="610" spans="1:3" x14ac:dyDescent="0.25">
      <c r="A610" t="str">
        <f>"17861636503124706"</f>
        <v>17861636503124706</v>
      </c>
      <c r="B610" t="s">
        <v>469</v>
      </c>
      <c r="C610" t="s">
        <v>470</v>
      </c>
    </row>
    <row r="611" spans="1:3" x14ac:dyDescent="0.25">
      <c r="A611" t="str">
        <f>"17860894330084692"</f>
        <v>17860894330084692</v>
      </c>
      <c r="B611" t="s">
        <v>471</v>
      </c>
      <c r="C611" t="s">
        <v>472</v>
      </c>
    </row>
    <row r="612" spans="1:3" x14ac:dyDescent="0.25">
      <c r="A612" t="str">
        <f>"17860793452083447"</f>
        <v>17860793452083447</v>
      </c>
      <c r="B612" t="s">
        <v>473</v>
      </c>
      <c r="C612" t="s">
        <v>474</v>
      </c>
    </row>
    <row r="613" spans="1:3" x14ac:dyDescent="0.25">
      <c r="A613" t="str">
        <f>"17850963373153786"</f>
        <v>17850963373153786</v>
      </c>
      <c r="B613" t="s">
        <v>475</v>
      </c>
      <c r="C613" t="s">
        <v>476</v>
      </c>
    </row>
    <row r="614" spans="1:3" x14ac:dyDescent="0.25">
      <c r="A614" t="str">
        <f>"17859089863087957"</f>
        <v>17859089863087957</v>
      </c>
      <c r="B614" t="s">
        <v>477</v>
      </c>
      <c r="C614" t="s">
        <v>478</v>
      </c>
    </row>
    <row r="615" spans="1:3" x14ac:dyDescent="0.25">
      <c r="A615" t="str">
        <f>"17848472527182069"</f>
        <v>17848472527182069</v>
      </c>
      <c r="B615" t="s">
        <v>479</v>
      </c>
      <c r="C615" t="s">
        <v>480</v>
      </c>
    </row>
    <row r="616" spans="1:3" x14ac:dyDescent="0.25">
      <c r="A616" t="str">
        <f>"17860948417099398"</f>
        <v>17860948417099398</v>
      </c>
      <c r="B616" t="s">
        <v>481</v>
      </c>
      <c r="C616" t="s">
        <v>482</v>
      </c>
    </row>
    <row r="617" spans="1:3" x14ac:dyDescent="0.25">
      <c r="A617" t="str">
        <f>"17850981937133489"</f>
        <v>17850981937133489</v>
      </c>
      <c r="B617" t="s">
        <v>206</v>
      </c>
      <c r="C617" t="s">
        <v>483</v>
      </c>
    </row>
    <row r="618" spans="1:3" x14ac:dyDescent="0.25">
      <c r="A618" t="str">
        <f>"17849188708183696"</f>
        <v>17849188708183696</v>
      </c>
      <c r="B618" t="s">
        <v>484</v>
      </c>
      <c r="C618" t="s">
        <v>485</v>
      </c>
    </row>
    <row r="619" spans="1:3" x14ac:dyDescent="0.25">
      <c r="A619" t="str">
        <f>"17871660631060674"</f>
        <v>17871660631060674</v>
      </c>
      <c r="B619" t="s">
        <v>486</v>
      </c>
      <c r="C619" t="s">
        <v>487</v>
      </c>
    </row>
    <row r="620" spans="1:3" x14ac:dyDescent="0.25">
      <c r="A620" t="str">
        <f>"17849474554177694"</f>
        <v>17849474554177694</v>
      </c>
      <c r="B620" t="s">
        <v>488</v>
      </c>
      <c r="C620" t="s">
        <v>489</v>
      </c>
    </row>
    <row r="621" spans="1:3" x14ac:dyDescent="0.25">
      <c r="A621" t="str">
        <f>"17872512130044138"</f>
        <v>17872512130044138</v>
      </c>
      <c r="B621" t="s">
        <v>58</v>
      </c>
      <c r="C621" t="s">
        <v>490</v>
      </c>
    </row>
    <row r="622" spans="1:3" x14ac:dyDescent="0.25">
      <c r="A622" t="str">
        <f>"17849188708183696"</f>
        <v>17849188708183696</v>
      </c>
      <c r="B622" t="s">
        <v>484</v>
      </c>
      <c r="C622" t="s">
        <v>485</v>
      </c>
    </row>
    <row r="623" spans="1:3" x14ac:dyDescent="0.25">
      <c r="A623" t="str">
        <f>"17871660631060674"</f>
        <v>17871660631060674</v>
      </c>
      <c r="B623" t="s">
        <v>486</v>
      </c>
      <c r="C623" t="s">
        <v>487</v>
      </c>
    </row>
    <row r="624" spans="1:3" x14ac:dyDescent="0.25">
      <c r="A624" t="str">
        <f>"17849474554177694"</f>
        <v>17849474554177694</v>
      </c>
      <c r="B624" t="s">
        <v>488</v>
      </c>
      <c r="C624" t="s">
        <v>489</v>
      </c>
    </row>
    <row r="625" spans="1:3" x14ac:dyDescent="0.25">
      <c r="A625" t="str">
        <f>"17872512130044138"</f>
        <v>17872512130044138</v>
      </c>
      <c r="B625" t="s">
        <v>58</v>
      </c>
      <c r="C625" t="s">
        <v>490</v>
      </c>
    </row>
    <row r="626" spans="1:3" x14ac:dyDescent="0.25">
      <c r="A626" t="str">
        <f>"17924852734245589"</f>
        <v>17924852734245589</v>
      </c>
      <c r="B626" t="s">
        <v>491</v>
      </c>
      <c r="C626" t="s">
        <v>492</v>
      </c>
    </row>
    <row r="627" spans="1:3" x14ac:dyDescent="0.25">
      <c r="A627" t="str">
        <f>"17924852734245589"</f>
        <v>17924852734245589</v>
      </c>
      <c r="B627" t="s">
        <v>491</v>
      </c>
      <c r="C627" t="s">
        <v>492</v>
      </c>
    </row>
    <row r="628" spans="1:3" x14ac:dyDescent="0.25">
      <c r="A628" t="str">
        <f>"17860288807092633"</f>
        <v>17860288807092633</v>
      </c>
      <c r="B628" t="s">
        <v>493</v>
      </c>
      <c r="C628" t="s">
        <v>494</v>
      </c>
    </row>
    <row r="629" spans="1:3" x14ac:dyDescent="0.25">
      <c r="A629" t="str">
        <f>"17872741606032240"</f>
        <v>17872741606032240</v>
      </c>
      <c r="B629" t="s">
        <v>495</v>
      </c>
      <c r="C629" t="s">
        <v>496</v>
      </c>
    </row>
    <row r="630" spans="1:3" x14ac:dyDescent="0.25">
      <c r="A630" t="str">
        <f>"17850726022147420"</f>
        <v>17850726022147420</v>
      </c>
      <c r="B630" t="s">
        <v>497</v>
      </c>
      <c r="C630" t="s">
        <v>498</v>
      </c>
    </row>
    <row r="631" spans="1:3" x14ac:dyDescent="0.25">
      <c r="A631" t="str">
        <f>"17850680092151620"</f>
        <v>17850680092151620</v>
      </c>
      <c r="B631" t="s">
        <v>499</v>
      </c>
      <c r="C631" t="s">
        <v>500</v>
      </c>
    </row>
    <row r="632" spans="1:3" x14ac:dyDescent="0.25">
      <c r="A632" t="str">
        <f>"17860288807092633"</f>
        <v>17860288807092633</v>
      </c>
      <c r="B632" t="s">
        <v>493</v>
      </c>
      <c r="C632" t="s">
        <v>494</v>
      </c>
    </row>
    <row r="633" spans="1:3" x14ac:dyDescent="0.25">
      <c r="A633" t="str">
        <f>"17872741606032240"</f>
        <v>17872741606032240</v>
      </c>
      <c r="B633" t="s">
        <v>495</v>
      </c>
      <c r="C633" t="s">
        <v>496</v>
      </c>
    </row>
    <row r="634" spans="1:3" x14ac:dyDescent="0.25">
      <c r="A634" t="str">
        <f>"17850726022147420"</f>
        <v>17850726022147420</v>
      </c>
      <c r="B634" t="s">
        <v>497</v>
      </c>
      <c r="C634" t="s">
        <v>498</v>
      </c>
    </row>
    <row r="635" spans="1:3" x14ac:dyDescent="0.25">
      <c r="A635" t="str">
        <f>"17850680092151620"</f>
        <v>17850680092151620</v>
      </c>
      <c r="B635" t="s">
        <v>499</v>
      </c>
      <c r="C635" t="s">
        <v>500</v>
      </c>
    </row>
    <row r="636" spans="1:3" x14ac:dyDescent="0.25">
      <c r="A636" t="str">
        <f>"17860288807092633"</f>
        <v>17860288807092633</v>
      </c>
      <c r="B636" t="s">
        <v>493</v>
      </c>
      <c r="C636" t="s">
        <v>494</v>
      </c>
    </row>
    <row r="637" spans="1:3" x14ac:dyDescent="0.25">
      <c r="A637" t="str">
        <f>"17872741606032240"</f>
        <v>17872741606032240</v>
      </c>
      <c r="B637" t="s">
        <v>495</v>
      </c>
      <c r="C637" t="s">
        <v>496</v>
      </c>
    </row>
    <row r="638" spans="1:3" x14ac:dyDescent="0.25">
      <c r="A638" t="str">
        <f>"17850726022147420"</f>
        <v>17850726022147420</v>
      </c>
      <c r="B638" t="s">
        <v>497</v>
      </c>
      <c r="C638" t="s">
        <v>498</v>
      </c>
    </row>
    <row r="639" spans="1:3" x14ac:dyDescent="0.25">
      <c r="A639" t="str">
        <f>"17850680092151620"</f>
        <v>17850680092151620</v>
      </c>
      <c r="B639" t="s">
        <v>499</v>
      </c>
      <c r="C639" t="s">
        <v>500</v>
      </c>
    </row>
    <row r="640" spans="1:3" x14ac:dyDescent="0.25">
      <c r="A640" t="str">
        <f>"17864351629103211"</f>
        <v>17864351629103211</v>
      </c>
      <c r="B640" t="s">
        <v>501</v>
      </c>
      <c r="C640" t="s">
        <v>502</v>
      </c>
    </row>
    <row r="641" spans="1:3" x14ac:dyDescent="0.25">
      <c r="A641" t="str">
        <f>"17864351629103211"</f>
        <v>17864351629103211</v>
      </c>
      <c r="B641" t="s">
        <v>501</v>
      </c>
      <c r="C641" t="s">
        <v>502</v>
      </c>
    </row>
    <row r="642" spans="1:3" x14ac:dyDescent="0.25">
      <c r="A642" t="str">
        <f>"17875359046013928"</f>
        <v>17875359046013928</v>
      </c>
      <c r="B642" t="s">
        <v>503</v>
      </c>
      <c r="C642" t="s">
        <v>504</v>
      </c>
    </row>
    <row r="643" spans="1:3" x14ac:dyDescent="0.25">
      <c r="A643" t="str">
        <f>"17875359046013928"</f>
        <v>17875359046013928</v>
      </c>
      <c r="B643" t="s">
        <v>503</v>
      </c>
      <c r="C643" t="s">
        <v>504</v>
      </c>
    </row>
    <row r="644" spans="1:3" x14ac:dyDescent="0.25">
      <c r="A644" t="str">
        <f>"17875359046013928"</f>
        <v>17875359046013928</v>
      </c>
      <c r="B644" t="s">
        <v>503</v>
      </c>
      <c r="C644" t="s">
        <v>504</v>
      </c>
    </row>
    <row r="645" spans="1:3" x14ac:dyDescent="0.25">
      <c r="A645" t="str">
        <f>"17864367688099479"</f>
        <v>17864367688099479</v>
      </c>
      <c r="B645" t="s">
        <v>193</v>
      </c>
      <c r="C645" t="s">
        <v>505</v>
      </c>
    </row>
    <row r="646" spans="1:3" x14ac:dyDescent="0.25">
      <c r="A646" t="str">
        <f>"17864350273114333"</f>
        <v>17864350273114333</v>
      </c>
      <c r="B646" t="s">
        <v>506</v>
      </c>
      <c r="C646" t="s">
        <v>507</v>
      </c>
    </row>
    <row r="647" spans="1:3" x14ac:dyDescent="0.25">
      <c r="A647" t="str">
        <f>"17850404323171361"</f>
        <v>17850404323171361</v>
      </c>
      <c r="B647" t="s">
        <v>508</v>
      </c>
      <c r="C647" t="s">
        <v>509</v>
      </c>
    </row>
    <row r="648" spans="1:3" x14ac:dyDescent="0.25">
      <c r="A648" t="str">
        <f>"17850404323171361"</f>
        <v>17850404323171361</v>
      </c>
      <c r="B648" t="s">
        <v>508</v>
      </c>
      <c r="C648" t="s">
        <v>509</v>
      </c>
    </row>
    <row r="649" spans="1:3" x14ac:dyDescent="0.25">
      <c r="A649" t="str">
        <f>"17850404323171361"</f>
        <v>17850404323171361</v>
      </c>
      <c r="B649" t="s">
        <v>508</v>
      </c>
      <c r="C649" t="s">
        <v>509</v>
      </c>
    </row>
    <row r="650" spans="1:3" x14ac:dyDescent="0.25">
      <c r="A650" t="str">
        <f>"18186081814321136"</f>
        <v>18186081814321136</v>
      </c>
      <c r="B650" t="s">
        <v>510</v>
      </c>
      <c r="C650" t="s">
        <v>511</v>
      </c>
    </row>
    <row r="651" spans="1:3" x14ac:dyDescent="0.25">
      <c r="A651" t="str">
        <f>"18186081814321136"</f>
        <v>18186081814321136</v>
      </c>
      <c r="B651" t="s">
        <v>510</v>
      </c>
      <c r="C651" t="s">
        <v>511</v>
      </c>
    </row>
    <row r="652" spans="1:3" x14ac:dyDescent="0.25">
      <c r="A652" t="str">
        <f>"17866278112079865"</f>
        <v>17866278112079865</v>
      </c>
      <c r="B652" t="s">
        <v>512</v>
      </c>
      <c r="C652" t="s">
        <v>513</v>
      </c>
    </row>
    <row r="653" spans="1:3" x14ac:dyDescent="0.25">
      <c r="A653" t="str">
        <f>"17863931755110600"</f>
        <v>17863931755110600</v>
      </c>
      <c r="B653" t="s">
        <v>514</v>
      </c>
      <c r="C653" t="s">
        <v>515</v>
      </c>
    </row>
    <row r="654" spans="1:3" x14ac:dyDescent="0.25">
      <c r="A654" t="str">
        <f>"17851505773183861"</f>
        <v>17851505773183861</v>
      </c>
      <c r="B654" t="s">
        <v>516</v>
      </c>
      <c r="C654" t="s">
        <v>517</v>
      </c>
    </row>
    <row r="655" spans="1:3" x14ac:dyDescent="0.25">
      <c r="A655" t="str">
        <f>"17866278112079865"</f>
        <v>17866278112079865</v>
      </c>
      <c r="B655" t="s">
        <v>512</v>
      </c>
      <c r="C655" t="s">
        <v>513</v>
      </c>
    </row>
    <row r="656" spans="1:3" x14ac:dyDescent="0.25">
      <c r="A656" t="str">
        <f>"17863931755110600"</f>
        <v>17863931755110600</v>
      </c>
      <c r="B656" t="s">
        <v>514</v>
      </c>
      <c r="C656" t="s">
        <v>515</v>
      </c>
    </row>
    <row r="657" spans="1:3" x14ac:dyDescent="0.25">
      <c r="A657" t="str">
        <f>"17851505773183861"</f>
        <v>17851505773183861</v>
      </c>
      <c r="B657" t="s">
        <v>516</v>
      </c>
      <c r="C657" t="s">
        <v>517</v>
      </c>
    </row>
    <row r="658" spans="1:3" x14ac:dyDescent="0.25">
      <c r="A658" t="str">
        <f>"17873887138034721"</f>
        <v>17873887138034721</v>
      </c>
      <c r="B658" t="s">
        <v>518</v>
      </c>
      <c r="C658" t="s">
        <v>519</v>
      </c>
    </row>
    <row r="659" spans="1:3" x14ac:dyDescent="0.25">
      <c r="A659" t="str">
        <f>"17868260017071523"</f>
        <v>17868260017071523</v>
      </c>
      <c r="B659" t="s">
        <v>520</v>
      </c>
      <c r="C659" t="s">
        <v>521</v>
      </c>
    </row>
    <row r="660" spans="1:3" x14ac:dyDescent="0.25">
      <c r="A660" t="str">
        <f>"17876158393047225"</f>
        <v>17876158393047225</v>
      </c>
      <c r="B660" t="s">
        <v>522</v>
      </c>
      <c r="C660" t="s">
        <v>523</v>
      </c>
    </row>
    <row r="661" spans="1:3" x14ac:dyDescent="0.25">
      <c r="A661" t="str">
        <f>"17876158393047225"</f>
        <v>17876158393047225</v>
      </c>
      <c r="B661" t="s">
        <v>522</v>
      </c>
      <c r="C661" t="s">
        <v>523</v>
      </c>
    </row>
    <row r="662" spans="1:3" x14ac:dyDescent="0.25">
      <c r="A662" t="str">
        <f>"17870585086069276"</f>
        <v>17870585086069276</v>
      </c>
      <c r="B662" t="s">
        <v>524</v>
      </c>
      <c r="C662" t="s">
        <v>525</v>
      </c>
    </row>
    <row r="663" spans="1:3" x14ac:dyDescent="0.25">
      <c r="A663" t="str">
        <f>"17851935262192803"</f>
        <v>17851935262192803</v>
      </c>
      <c r="B663" t="s">
        <v>526</v>
      </c>
      <c r="C663" t="s">
        <v>527</v>
      </c>
    </row>
    <row r="664" spans="1:3" x14ac:dyDescent="0.25">
      <c r="A664" t="str">
        <f>"17864921008096628"</f>
        <v>17864921008096628</v>
      </c>
      <c r="B664" t="s">
        <v>528</v>
      </c>
      <c r="C664" t="s">
        <v>529</v>
      </c>
    </row>
    <row r="665" spans="1:3" x14ac:dyDescent="0.25">
      <c r="A665" t="str">
        <f>"17870585086069276"</f>
        <v>17870585086069276</v>
      </c>
      <c r="B665" t="s">
        <v>524</v>
      </c>
      <c r="C665" t="s">
        <v>525</v>
      </c>
    </row>
    <row r="666" spans="1:3" x14ac:dyDescent="0.25">
      <c r="A666" t="str">
        <f>"17851935262192803"</f>
        <v>17851935262192803</v>
      </c>
      <c r="B666" t="s">
        <v>526</v>
      </c>
      <c r="C666" t="s">
        <v>527</v>
      </c>
    </row>
    <row r="667" spans="1:3" x14ac:dyDescent="0.25">
      <c r="A667" t="str">
        <f>"17864921008096628"</f>
        <v>17864921008096628</v>
      </c>
      <c r="B667" t="s">
        <v>528</v>
      </c>
      <c r="C667" t="s">
        <v>529</v>
      </c>
    </row>
    <row r="668" spans="1:3" x14ac:dyDescent="0.25">
      <c r="A668" t="str">
        <f>"17877477382041832"</f>
        <v>17877477382041832</v>
      </c>
      <c r="B668" t="s">
        <v>530</v>
      </c>
      <c r="C668" t="s">
        <v>531</v>
      </c>
    </row>
    <row r="669" spans="1:3" x14ac:dyDescent="0.25">
      <c r="A669" t="str">
        <f>"17870660677066815"</f>
        <v>17870660677066815</v>
      </c>
      <c r="B669" t="s">
        <v>532</v>
      </c>
      <c r="C669" t="s">
        <v>533</v>
      </c>
    </row>
    <row r="670" spans="1:3" x14ac:dyDescent="0.25">
      <c r="A670" t="str">
        <f>"17877677821014122"</f>
        <v>17877677821014122</v>
      </c>
      <c r="B670" t="s">
        <v>153</v>
      </c>
      <c r="C670" t="s">
        <v>534</v>
      </c>
    </row>
    <row r="671" spans="1:3" x14ac:dyDescent="0.25">
      <c r="A671" t="str">
        <f>"17877477382041832"</f>
        <v>17877477382041832</v>
      </c>
      <c r="B671" t="s">
        <v>530</v>
      </c>
      <c r="C671" t="s">
        <v>531</v>
      </c>
    </row>
    <row r="672" spans="1:3" x14ac:dyDescent="0.25">
      <c r="A672" t="str">
        <f>"17870660677066815"</f>
        <v>17870660677066815</v>
      </c>
      <c r="B672" t="s">
        <v>532</v>
      </c>
      <c r="C672" t="s">
        <v>533</v>
      </c>
    </row>
    <row r="673" spans="1:3" x14ac:dyDescent="0.25">
      <c r="A673" t="str">
        <f>"17877677821014122"</f>
        <v>17877677821014122</v>
      </c>
      <c r="B673" t="s">
        <v>153</v>
      </c>
      <c r="C673" t="s">
        <v>534</v>
      </c>
    </row>
    <row r="674" spans="1:3" x14ac:dyDescent="0.25">
      <c r="A674" t="str">
        <f>"17877477382041832"</f>
        <v>17877477382041832</v>
      </c>
      <c r="B674" t="s">
        <v>530</v>
      </c>
      <c r="C674" t="s">
        <v>531</v>
      </c>
    </row>
    <row r="675" spans="1:3" x14ac:dyDescent="0.25">
      <c r="A675" t="str">
        <f>"17870660677066815"</f>
        <v>17870660677066815</v>
      </c>
      <c r="B675" t="s">
        <v>532</v>
      </c>
      <c r="C675" t="s">
        <v>533</v>
      </c>
    </row>
    <row r="676" spans="1:3" x14ac:dyDescent="0.25">
      <c r="A676" t="str">
        <f>"17877677821014122"</f>
        <v>17877677821014122</v>
      </c>
      <c r="B676" t="s">
        <v>153</v>
      </c>
      <c r="C676" t="s">
        <v>534</v>
      </c>
    </row>
    <row r="677" spans="1:3" x14ac:dyDescent="0.25">
      <c r="A677" t="str">
        <f>"17853418147149286"</f>
        <v>17853418147149286</v>
      </c>
      <c r="B677" t="s">
        <v>535</v>
      </c>
      <c r="C677" t="s">
        <v>536</v>
      </c>
    </row>
    <row r="678" spans="1:3" x14ac:dyDescent="0.25">
      <c r="A678" t="str">
        <f>"17853418147149286"</f>
        <v>17853418147149286</v>
      </c>
      <c r="B678" t="s">
        <v>535</v>
      </c>
      <c r="C678" t="s">
        <v>536</v>
      </c>
    </row>
    <row r="679" spans="1:3" x14ac:dyDescent="0.25">
      <c r="A679" t="str">
        <f>"17853546124147202"</f>
        <v>17853546124147202</v>
      </c>
      <c r="B679" t="s">
        <v>537</v>
      </c>
      <c r="C679" t="s">
        <v>538</v>
      </c>
    </row>
    <row r="680" spans="1:3" x14ac:dyDescent="0.25">
      <c r="A680" t="str">
        <f>"17852341132179206"</f>
        <v>17852341132179206</v>
      </c>
      <c r="B680" t="s">
        <v>9</v>
      </c>
      <c r="C680" t="s">
        <v>539</v>
      </c>
    </row>
    <row r="681" spans="1:3" x14ac:dyDescent="0.25">
      <c r="A681" t="str">
        <f>"17863178260092685"</f>
        <v>17863178260092685</v>
      </c>
      <c r="B681" t="s">
        <v>540</v>
      </c>
      <c r="C681" t="s">
        <v>541</v>
      </c>
    </row>
    <row r="682" spans="1:3" x14ac:dyDescent="0.25">
      <c r="A682" t="str">
        <f>"17884419496033612"</f>
        <v>17884419496033612</v>
      </c>
      <c r="B682" t="s">
        <v>542</v>
      </c>
      <c r="C682" t="s">
        <v>543</v>
      </c>
    </row>
    <row r="683" spans="1:3" x14ac:dyDescent="0.25">
      <c r="A683" t="str">
        <f>"17864557054122378"</f>
        <v>17864557054122378</v>
      </c>
      <c r="B683" t="s">
        <v>544</v>
      </c>
      <c r="C683" t="s">
        <v>545</v>
      </c>
    </row>
    <row r="684" spans="1:3" x14ac:dyDescent="0.25">
      <c r="A684" t="str">
        <f>"17853546124147202"</f>
        <v>17853546124147202</v>
      </c>
      <c r="B684" t="s">
        <v>537</v>
      </c>
      <c r="C684" t="s">
        <v>538</v>
      </c>
    </row>
    <row r="685" spans="1:3" x14ac:dyDescent="0.25">
      <c r="A685" t="str">
        <f>"17852341132179206"</f>
        <v>17852341132179206</v>
      </c>
      <c r="B685" t="s">
        <v>9</v>
      </c>
      <c r="C685" t="s">
        <v>539</v>
      </c>
    </row>
    <row r="686" spans="1:3" x14ac:dyDescent="0.25">
      <c r="A686" t="str">
        <f>"17863178260092685"</f>
        <v>17863178260092685</v>
      </c>
      <c r="B686" t="s">
        <v>540</v>
      </c>
      <c r="C686" t="s">
        <v>541</v>
      </c>
    </row>
    <row r="687" spans="1:3" x14ac:dyDescent="0.25">
      <c r="A687" t="str">
        <f>"17884419496033612"</f>
        <v>17884419496033612</v>
      </c>
      <c r="B687" t="s">
        <v>542</v>
      </c>
      <c r="C687" t="s">
        <v>543</v>
      </c>
    </row>
    <row r="688" spans="1:3" x14ac:dyDescent="0.25">
      <c r="A688" t="str">
        <f>"17864557054122378"</f>
        <v>17864557054122378</v>
      </c>
      <c r="B688" t="s">
        <v>544</v>
      </c>
      <c r="C688" t="s">
        <v>545</v>
      </c>
    </row>
    <row r="689" spans="1:3" x14ac:dyDescent="0.25">
      <c r="A689" t="str">
        <f>"17853546124147202"</f>
        <v>17853546124147202</v>
      </c>
      <c r="B689" t="s">
        <v>537</v>
      </c>
      <c r="C689" t="s">
        <v>538</v>
      </c>
    </row>
    <row r="690" spans="1:3" x14ac:dyDescent="0.25">
      <c r="A690" t="str">
        <f>"17852341132179206"</f>
        <v>17852341132179206</v>
      </c>
      <c r="B690" t="s">
        <v>9</v>
      </c>
      <c r="C690" t="s">
        <v>539</v>
      </c>
    </row>
    <row r="691" spans="1:3" x14ac:dyDescent="0.25">
      <c r="A691" t="str">
        <f>"17863178260092685"</f>
        <v>17863178260092685</v>
      </c>
      <c r="B691" t="s">
        <v>540</v>
      </c>
      <c r="C691" t="s">
        <v>541</v>
      </c>
    </row>
    <row r="692" spans="1:3" x14ac:dyDescent="0.25">
      <c r="A692" t="str">
        <f>"17884419496033612"</f>
        <v>17884419496033612</v>
      </c>
      <c r="B692" t="s">
        <v>542</v>
      </c>
      <c r="C692" t="s">
        <v>543</v>
      </c>
    </row>
    <row r="693" spans="1:3" x14ac:dyDescent="0.25">
      <c r="A693" t="str">
        <f>"17864557054122378"</f>
        <v>17864557054122378</v>
      </c>
      <c r="B693" t="s">
        <v>544</v>
      </c>
      <c r="C693" t="s">
        <v>545</v>
      </c>
    </row>
    <row r="694" spans="1:3" x14ac:dyDescent="0.25">
      <c r="A694" t="str">
        <f>"17853546124147202"</f>
        <v>17853546124147202</v>
      </c>
      <c r="B694" t="s">
        <v>537</v>
      </c>
      <c r="C694" t="s">
        <v>538</v>
      </c>
    </row>
    <row r="695" spans="1:3" x14ac:dyDescent="0.25">
      <c r="A695" t="str">
        <f>"17852341132179206"</f>
        <v>17852341132179206</v>
      </c>
      <c r="B695" t="s">
        <v>9</v>
      </c>
      <c r="C695" t="s">
        <v>539</v>
      </c>
    </row>
    <row r="696" spans="1:3" x14ac:dyDescent="0.25">
      <c r="A696" t="str">
        <f>"17863178260092685"</f>
        <v>17863178260092685</v>
      </c>
      <c r="B696" t="s">
        <v>540</v>
      </c>
      <c r="C696" t="s">
        <v>541</v>
      </c>
    </row>
    <row r="697" spans="1:3" x14ac:dyDescent="0.25">
      <c r="A697" t="str">
        <f>"17884419496033612"</f>
        <v>17884419496033612</v>
      </c>
      <c r="B697" t="s">
        <v>542</v>
      </c>
      <c r="C697" t="s">
        <v>543</v>
      </c>
    </row>
    <row r="698" spans="1:3" x14ac:dyDescent="0.25">
      <c r="A698" t="str">
        <f>"17864557054122378"</f>
        <v>17864557054122378</v>
      </c>
      <c r="B698" t="s">
        <v>544</v>
      </c>
      <c r="C698" t="s">
        <v>545</v>
      </c>
    </row>
    <row r="699" spans="1:3" x14ac:dyDescent="0.25">
      <c r="A699" t="str">
        <f>"17996314501082304"</f>
        <v>17996314501082304</v>
      </c>
      <c r="B699" t="s">
        <v>546</v>
      </c>
      <c r="C699" t="s">
        <v>547</v>
      </c>
    </row>
    <row r="700" spans="1:3" x14ac:dyDescent="0.25">
      <c r="A700" t="str">
        <f>"17996314501082304"</f>
        <v>17996314501082304</v>
      </c>
      <c r="B700" t="s">
        <v>546</v>
      </c>
      <c r="C700" t="s">
        <v>547</v>
      </c>
    </row>
    <row r="701" spans="1:3" x14ac:dyDescent="0.25">
      <c r="A701" t="str">
        <f>"17996314501082304"</f>
        <v>17996314501082304</v>
      </c>
      <c r="B701" t="s">
        <v>546</v>
      </c>
      <c r="C701" t="s">
        <v>547</v>
      </c>
    </row>
    <row r="702" spans="1:3" x14ac:dyDescent="0.25">
      <c r="A702" t="str">
        <f>"17996314501082304"</f>
        <v>17996314501082304</v>
      </c>
      <c r="B702" t="s">
        <v>546</v>
      </c>
      <c r="C702" t="s">
        <v>547</v>
      </c>
    </row>
    <row r="703" spans="1:3" x14ac:dyDescent="0.25">
      <c r="A703" t="str">
        <f>"17871578665068748"</f>
        <v>17871578665068748</v>
      </c>
      <c r="B703" t="s">
        <v>548</v>
      </c>
      <c r="C703" t="s">
        <v>549</v>
      </c>
    </row>
    <row r="704" spans="1:3" x14ac:dyDescent="0.25">
      <c r="A704" t="str">
        <f>"17871578665068748"</f>
        <v>17871578665068748</v>
      </c>
      <c r="B704" t="s">
        <v>548</v>
      </c>
      <c r="C704" t="s">
        <v>549</v>
      </c>
    </row>
    <row r="705" spans="1:3" x14ac:dyDescent="0.25">
      <c r="A705" t="str">
        <f>"17853302431180011"</f>
        <v>17853302431180011</v>
      </c>
      <c r="B705" t="s">
        <v>550</v>
      </c>
      <c r="C705" t="s">
        <v>551</v>
      </c>
    </row>
    <row r="706" spans="1:3" x14ac:dyDescent="0.25">
      <c r="A706" t="str">
        <f>"17853514588163503"</f>
        <v>17853514588163503</v>
      </c>
      <c r="B706" t="s">
        <v>552</v>
      </c>
      <c r="C706" t="s">
        <v>553</v>
      </c>
    </row>
    <row r="707" spans="1:3" x14ac:dyDescent="0.25">
      <c r="A707" t="str">
        <f>"17892359455032484"</f>
        <v>17892359455032484</v>
      </c>
      <c r="B707" t="s">
        <v>554</v>
      </c>
      <c r="C707" t="s">
        <v>555</v>
      </c>
    </row>
    <row r="708" spans="1:3" x14ac:dyDescent="0.25">
      <c r="A708" t="str">
        <f>"17853302431180011"</f>
        <v>17853302431180011</v>
      </c>
      <c r="B708" t="s">
        <v>550</v>
      </c>
      <c r="C708" t="s">
        <v>551</v>
      </c>
    </row>
    <row r="709" spans="1:3" x14ac:dyDescent="0.25">
      <c r="A709" t="str">
        <f>"17853514588163503"</f>
        <v>17853514588163503</v>
      </c>
      <c r="B709" t="s">
        <v>552</v>
      </c>
      <c r="C709" t="s">
        <v>553</v>
      </c>
    </row>
    <row r="710" spans="1:3" x14ac:dyDescent="0.25">
      <c r="A710" t="str">
        <f>"17892359455032484"</f>
        <v>17892359455032484</v>
      </c>
      <c r="B710" t="s">
        <v>554</v>
      </c>
      <c r="C710" t="s">
        <v>555</v>
      </c>
    </row>
    <row r="711" spans="1:3" x14ac:dyDescent="0.25">
      <c r="A711" t="str">
        <f>"17877392776023403"</f>
        <v>17877392776023403</v>
      </c>
      <c r="B711" t="s">
        <v>556</v>
      </c>
      <c r="C711" t="s">
        <v>557</v>
      </c>
    </row>
    <row r="712" spans="1:3" x14ac:dyDescent="0.25">
      <c r="A712" t="str">
        <f>"17853414136179668"</f>
        <v>17853414136179668</v>
      </c>
      <c r="B712" t="s">
        <v>3</v>
      </c>
      <c r="C712" t="s">
        <v>558</v>
      </c>
    </row>
    <row r="713" spans="1:3" x14ac:dyDescent="0.25">
      <c r="A713" t="str">
        <f>"17855010280148881"</f>
        <v>17855010280148881</v>
      </c>
      <c r="B713" t="s">
        <v>559</v>
      </c>
      <c r="C713" t="s">
        <v>560</v>
      </c>
    </row>
    <row r="714" spans="1:3" x14ac:dyDescent="0.25">
      <c r="A714" t="str">
        <f>"17878301698048241"</f>
        <v>17878301698048241</v>
      </c>
      <c r="B714" t="s">
        <v>561</v>
      </c>
      <c r="C714" t="s">
        <v>562</v>
      </c>
    </row>
    <row r="715" spans="1:3" x14ac:dyDescent="0.25">
      <c r="A715" t="str">
        <f>"17891286832042070"</f>
        <v>17891286832042070</v>
      </c>
      <c r="B715" t="s">
        <v>563</v>
      </c>
      <c r="C715" t="s">
        <v>564</v>
      </c>
    </row>
    <row r="716" spans="1:3" x14ac:dyDescent="0.25">
      <c r="A716" t="str">
        <f>"17877392776023403"</f>
        <v>17877392776023403</v>
      </c>
      <c r="B716" t="s">
        <v>556</v>
      </c>
      <c r="C716" t="s">
        <v>557</v>
      </c>
    </row>
    <row r="717" spans="1:3" x14ac:dyDescent="0.25">
      <c r="A717" t="str">
        <f>"17853414136179668"</f>
        <v>17853414136179668</v>
      </c>
      <c r="B717" t="s">
        <v>3</v>
      </c>
      <c r="C717" t="s">
        <v>558</v>
      </c>
    </row>
    <row r="718" spans="1:3" x14ac:dyDescent="0.25">
      <c r="A718" t="str">
        <f>"17855010280148881"</f>
        <v>17855010280148881</v>
      </c>
      <c r="B718" t="s">
        <v>559</v>
      </c>
      <c r="C718" t="s">
        <v>560</v>
      </c>
    </row>
    <row r="719" spans="1:3" x14ac:dyDescent="0.25">
      <c r="A719" t="str">
        <f>"17878301698048241"</f>
        <v>17878301698048241</v>
      </c>
      <c r="B719" t="s">
        <v>561</v>
      </c>
      <c r="C719" t="s">
        <v>562</v>
      </c>
    </row>
    <row r="720" spans="1:3" x14ac:dyDescent="0.25">
      <c r="A720" t="str">
        <f>"17891286832042070"</f>
        <v>17891286832042070</v>
      </c>
      <c r="B720" t="s">
        <v>563</v>
      </c>
      <c r="C720" t="s">
        <v>564</v>
      </c>
    </row>
    <row r="721" spans="1:3" x14ac:dyDescent="0.25">
      <c r="A721" t="str">
        <f>"17871246367077913"</f>
        <v>17871246367077913</v>
      </c>
      <c r="B721" t="s">
        <v>565</v>
      </c>
      <c r="C721" t="s">
        <v>566</v>
      </c>
    </row>
    <row r="722" spans="1:3" x14ac:dyDescent="0.25">
      <c r="A722" t="str">
        <f>"17871246367077913"</f>
        <v>17871246367077913</v>
      </c>
      <c r="B722" t="s">
        <v>565</v>
      </c>
      <c r="C722" t="s">
        <v>566</v>
      </c>
    </row>
    <row r="723" spans="1:3" x14ac:dyDescent="0.25">
      <c r="A723" t="str">
        <f>"17871246367077913"</f>
        <v>17871246367077913</v>
      </c>
      <c r="B723" t="s">
        <v>565</v>
      </c>
      <c r="C723" t="s">
        <v>566</v>
      </c>
    </row>
    <row r="724" spans="1:3" x14ac:dyDescent="0.25">
      <c r="A724" t="str">
        <f>"18017693131109780"</f>
        <v>18017693131109780</v>
      </c>
      <c r="B724" t="s">
        <v>567</v>
      </c>
      <c r="C724" t="s">
        <v>568</v>
      </c>
    </row>
    <row r="725" spans="1:3" x14ac:dyDescent="0.25">
      <c r="A725" t="str">
        <f>"18017693131109780"</f>
        <v>18017693131109780</v>
      </c>
      <c r="B725" t="s">
        <v>567</v>
      </c>
      <c r="C725" t="s">
        <v>568</v>
      </c>
    </row>
    <row r="726" spans="1:3" x14ac:dyDescent="0.25">
      <c r="A726" t="str">
        <f>"17878408747000289"</f>
        <v>17878408747000289</v>
      </c>
      <c r="B726" t="s">
        <v>569</v>
      </c>
      <c r="C726" t="s">
        <v>570</v>
      </c>
    </row>
    <row r="727" spans="1:3" x14ac:dyDescent="0.25">
      <c r="A727" t="str">
        <f>"17878408747000289"</f>
        <v>17878408747000289</v>
      </c>
      <c r="B727" t="s">
        <v>569</v>
      </c>
      <c r="C727" t="s">
        <v>570</v>
      </c>
    </row>
    <row r="728" spans="1:3" x14ac:dyDescent="0.25">
      <c r="A728" t="str">
        <f>"17878408747000289"</f>
        <v>17878408747000289</v>
      </c>
      <c r="B728" t="s">
        <v>569</v>
      </c>
      <c r="C728" t="s">
        <v>570</v>
      </c>
    </row>
    <row r="729" spans="1:3" x14ac:dyDescent="0.25">
      <c r="A729" t="str">
        <f>"17878408747000289"</f>
        <v>17878408747000289</v>
      </c>
      <c r="B729" t="s">
        <v>569</v>
      </c>
      <c r="C729" t="s">
        <v>570</v>
      </c>
    </row>
    <row r="730" spans="1:3" x14ac:dyDescent="0.25">
      <c r="A730" t="str">
        <f>"17864574808087152"</f>
        <v>17864574808087152</v>
      </c>
      <c r="B730" t="s">
        <v>571</v>
      </c>
      <c r="C730" t="s">
        <v>572</v>
      </c>
    </row>
    <row r="731" spans="1:3" x14ac:dyDescent="0.25">
      <c r="A731" t="str">
        <f>"17853962773178398"</f>
        <v>17853962773178398</v>
      </c>
      <c r="B731" t="s">
        <v>255</v>
      </c>
      <c r="C731" t="s">
        <v>573</v>
      </c>
    </row>
    <row r="732" spans="1:3" x14ac:dyDescent="0.25">
      <c r="A732" t="str">
        <f>"17866239835126742"</f>
        <v>17866239835126742</v>
      </c>
      <c r="B732" t="s">
        <v>136</v>
      </c>
      <c r="C732" t="s">
        <v>574</v>
      </c>
    </row>
    <row r="733" spans="1:3" x14ac:dyDescent="0.25">
      <c r="A733" t="str">
        <f>"17867513929103308"</f>
        <v>17867513929103308</v>
      </c>
      <c r="B733" t="s">
        <v>575</v>
      </c>
      <c r="C733" t="s">
        <v>576</v>
      </c>
    </row>
    <row r="734" spans="1:3" x14ac:dyDescent="0.25">
      <c r="A734" t="str">
        <f>"17864574808087152"</f>
        <v>17864574808087152</v>
      </c>
      <c r="B734" t="s">
        <v>571</v>
      </c>
      <c r="C734" t="s">
        <v>572</v>
      </c>
    </row>
    <row r="735" spans="1:3" x14ac:dyDescent="0.25">
      <c r="A735" t="str">
        <f>"17853962773178398"</f>
        <v>17853962773178398</v>
      </c>
      <c r="B735" t="s">
        <v>255</v>
      </c>
      <c r="C735" t="s">
        <v>573</v>
      </c>
    </row>
    <row r="736" spans="1:3" x14ac:dyDescent="0.25">
      <c r="A736" t="str">
        <f>"17866239835126742"</f>
        <v>17866239835126742</v>
      </c>
      <c r="B736" t="s">
        <v>136</v>
      </c>
      <c r="C736" t="s">
        <v>574</v>
      </c>
    </row>
    <row r="737" spans="1:3" x14ac:dyDescent="0.25">
      <c r="A737" t="str">
        <f>"17867513929103308"</f>
        <v>17867513929103308</v>
      </c>
      <c r="B737" t="s">
        <v>575</v>
      </c>
      <c r="C737" t="s">
        <v>576</v>
      </c>
    </row>
    <row r="738" spans="1:3" x14ac:dyDescent="0.25">
      <c r="A738" t="str">
        <f>"17864801737080189"</f>
        <v>17864801737080189</v>
      </c>
      <c r="B738" t="s">
        <v>544</v>
      </c>
      <c r="C738" t="s">
        <v>577</v>
      </c>
    </row>
    <row r="739" spans="1:3" x14ac:dyDescent="0.25">
      <c r="A739" t="str">
        <f>"17872498921065202"</f>
        <v>17872498921065202</v>
      </c>
      <c r="B739" t="s">
        <v>294</v>
      </c>
      <c r="C739" t="s">
        <v>578</v>
      </c>
    </row>
    <row r="740" spans="1:3" x14ac:dyDescent="0.25">
      <c r="A740" t="str">
        <f>"17880073372005046"</f>
        <v>17880073372005046</v>
      </c>
      <c r="B740" t="s">
        <v>579</v>
      </c>
      <c r="C740" t="s">
        <v>580</v>
      </c>
    </row>
    <row r="741" spans="1:3" x14ac:dyDescent="0.25">
      <c r="A741" t="str">
        <f>"17880073372005046"</f>
        <v>17880073372005046</v>
      </c>
      <c r="B741" t="s">
        <v>579</v>
      </c>
      <c r="C741" t="s">
        <v>580</v>
      </c>
    </row>
    <row r="742" spans="1:3" x14ac:dyDescent="0.25">
      <c r="A742" t="str">
        <f>"17880073372005046"</f>
        <v>17880073372005046</v>
      </c>
      <c r="B742" t="s">
        <v>579</v>
      </c>
      <c r="C742" t="s">
        <v>580</v>
      </c>
    </row>
    <row r="743" spans="1:3" x14ac:dyDescent="0.25">
      <c r="A743" t="str">
        <f>"17878735885036491"</f>
        <v>17878735885036491</v>
      </c>
      <c r="B743" t="s">
        <v>436</v>
      </c>
      <c r="C743" t="s">
        <v>581</v>
      </c>
    </row>
    <row r="744" spans="1:3" x14ac:dyDescent="0.25">
      <c r="A744" t="str">
        <f>"17878735885036491"</f>
        <v>17878735885036491</v>
      </c>
      <c r="B744" t="s">
        <v>436</v>
      </c>
      <c r="C744" t="s">
        <v>581</v>
      </c>
    </row>
    <row r="745" spans="1:3" x14ac:dyDescent="0.25">
      <c r="A745" t="str">
        <f>"17880652498004470"</f>
        <v>17880652498004470</v>
      </c>
      <c r="B745" t="s">
        <v>58</v>
      </c>
      <c r="C745" t="s">
        <v>582</v>
      </c>
    </row>
    <row r="746" spans="1:3" x14ac:dyDescent="0.25">
      <c r="A746" t="str">
        <f>"17855124727174162"</f>
        <v>17855124727174162</v>
      </c>
      <c r="B746" t="s">
        <v>333</v>
      </c>
      <c r="C746" t="s">
        <v>583</v>
      </c>
    </row>
    <row r="747" spans="1:3" x14ac:dyDescent="0.25">
      <c r="A747" t="str">
        <f>"17880652498004470"</f>
        <v>17880652498004470</v>
      </c>
      <c r="B747" t="s">
        <v>58</v>
      </c>
      <c r="C747" t="s">
        <v>582</v>
      </c>
    </row>
    <row r="748" spans="1:3" x14ac:dyDescent="0.25">
      <c r="A748" t="str">
        <f>"17855124727174162"</f>
        <v>17855124727174162</v>
      </c>
      <c r="B748" t="s">
        <v>333</v>
      </c>
      <c r="C748" t="s">
        <v>583</v>
      </c>
    </row>
    <row r="749" spans="1:3" x14ac:dyDescent="0.25">
      <c r="A749" t="str">
        <f>"17880652498004470"</f>
        <v>17880652498004470</v>
      </c>
      <c r="B749" t="s">
        <v>58</v>
      </c>
      <c r="C749" t="s">
        <v>582</v>
      </c>
    </row>
    <row r="750" spans="1:3" x14ac:dyDescent="0.25">
      <c r="A750" t="str">
        <f>"17855124727174162"</f>
        <v>17855124727174162</v>
      </c>
      <c r="B750" t="s">
        <v>333</v>
      </c>
      <c r="C750" t="s">
        <v>583</v>
      </c>
    </row>
    <row r="751" spans="1:3" x14ac:dyDescent="0.25">
      <c r="A751" t="str">
        <f>"17855608543167468"</f>
        <v>17855608543167468</v>
      </c>
      <c r="B751" t="s">
        <v>584</v>
      </c>
      <c r="C751" t="s">
        <v>585</v>
      </c>
    </row>
    <row r="752" spans="1:3" x14ac:dyDescent="0.25">
      <c r="A752" t="str">
        <f>"17855608543167468"</f>
        <v>17855608543167468</v>
      </c>
      <c r="B752" t="s">
        <v>584</v>
      </c>
      <c r="C752" t="s">
        <v>585</v>
      </c>
    </row>
    <row r="753" spans="1:3" x14ac:dyDescent="0.25">
      <c r="A753" t="str">
        <f>"17868233929109334"</f>
        <v>17868233929109334</v>
      </c>
      <c r="B753" t="s">
        <v>586</v>
      </c>
      <c r="C753" t="s">
        <v>587</v>
      </c>
    </row>
    <row r="754" spans="1:3" x14ac:dyDescent="0.25">
      <c r="A754" t="str">
        <f>"17868233929109334"</f>
        <v>17868233929109334</v>
      </c>
      <c r="B754" t="s">
        <v>586</v>
      </c>
      <c r="C754" t="s">
        <v>587</v>
      </c>
    </row>
    <row r="755" spans="1:3" x14ac:dyDescent="0.25">
      <c r="A755" t="str">
        <f>"18048981178041699"</f>
        <v>18048981178041699</v>
      </c>
      <c r="B755" t="s">
        <v>588</v>
      </c>
      <c r="C755" t="s">
        <v>589</v>
      </c>
    </row>
    <row r="756" spans="1:3" x14ac:dyDescent="0.25">
      <c r="A756" t="str">
        <f>"18048981178041699"</f>
        <v>18048981178041699</v>
      </c>
      <c r="B756" t="s">
        <v>588</v>
      </c>
      <c r="C756" t="s">
        <v>589</v>
      </c>
    </row>
    <row r="757" spans="1:3" x14ac:dyDescent="0.25">
      <c r="A757" t="str">
        <f>"18048981178041699"</f>
        <v>18048981178041699</v>
      </c>
      <c r="B757" t="s">
        <v>588</v>
      </c>
      <c r="C757" t="s">
        <v>589</v>
      </c>
    </row>
    <row r="758" spans="1:3" x14ac:dyDescent="0.25">
      <c r="A758" t="str">
        <f>"18036021670043038"</f>
        <v>18036021670043038</v>
      </c>
      <c r="B758" t="s">
        <v>590</v>
      </c>
      <c r="C758" t="s">
        <v>591</v>
      </c>
    </row>
    <row r="759" spans="1:3" x14ac:dyDescent="0.25">
      <c r="A759" t="str">
        <f>"18036021670043038"</f>
        <v>18036021670043038</v>
      </c>
      <c r="B759" t="s">
        <v>590</v>
      </c>
      <c r="C759" t="s">
        <v>591</v>
      </c>
    </row>
    <row r="760" spans="1:3" x14ac:dyDescent="0.25">
      <c r="A760" t="str">
        <f>"18036021670043038"</f>
        <v>18036021670043038</v>
      </c>
      <c r="B760" t="s">
        <v>590</v>
      </c>
      <c r="C760" t="s">
        <v>591</v>
      </c>
    </row>
    <row r="761" spans="1:3" x14ac:dyDescent="0.25">
      <c r="A761" t="str">
        <f>"17881194439040690"</f>
        <v>17881194439040690</v>
      </c>
      <c r="B761" t="s">
        <v>259</v>
      </c>
      <c r="C761" t="s">
        <v>592</v>
      </c>
    </row>
    <row r="762" spans="1:3" x14ac:dyDescent="0.25">
      <c r="A762" t="str">
        <f>"17881194439040690"</f>
        <v>17881194439040690</v>
      </c>
      <c r="B762" t="s">
        <v>259</v>
      </c>
      <c r="C762" t="s">
        <v>592</v>
      </c>
    </row>
    <row r="763" spans="1:3" x14ac:dyDescent="0.25">
      <c r="A763" t="str">
        <f>"17881194439040690"</f>
        <v>17881194439040690</v>
      </c>
      <c r="B763" t="s">
        <v>259</v>
      </c>
      <c r="C763" t="s">
        <v>592</v>
      </c>
    </row>
    <row r="764" spans="1:3" x14ac:dyDescent="0.25">
      <c r="A764" t="str">
        <f>"17857333384179421"</f>
        <v>17857333384179421</v>
      </c>
      <c r="B764" t="s">
        <v>593</v>
      </c>
      <c r="C764" t="s">
        <v>594</v>
      </c>
    </row>
    <row r="765" spans="1:3" x14ac:dyDescent="0.25">
      <c r="A765" t="str">
        <f>"17857333384179421"</f>
        <v>17857333384179421</v>
      </c>
      <c r="B765" t="s">
        <v>593</v>
      </c>
      <c r="C765" t="s">
        <v>594</v>
      </c>
    </row>
    <row r="766" spans="1:3" x14ac:dyDescent="0.25">
      <c r="A766" t="str">
        <f>"17857333384179421"</f>
        <v>17857333384179421</v>
      </c>
      <c r="B766" t="s">
        <v>593</v>
      </c>
      <c r="C766" t="s">
        <v>594</v>
      </c>
    </row>
    <row r="767" spans="1:3" x14ac:dyDescent="0.25">
      <c r="A767" t="str">
        <f>"17882114431054216"</f>
        <v>17882114431054216</v>
      </c>
      <c r="B767" t="s">
        <v>31</v>
      </c>
      <c r="C767" t="s">
        <v>595</v>
      </c>
    </row>
    <row r="768" spans="1:3" x14ac:dyDescent="0.25">
      <c r="A768" t="str">
        <f>"17882114431054216"</f>
        <v>17882114431054216</v>
      </c>
      <c r="B768" t="s">
        <v>31</v>
      </c>
      <c r="C768" t="s">
        <v>595</v>
      </c>
    </row>
    <row r="769" spans="1:3" x14ac:dyDescent="0.25">
      <c r="A769" t="str">
        <f>"17882114431054216"</f>
        <v>17882114431054216</v>
      </c>
      <c r="B769" t="s">
        <v>31</v>
      </c>
      <c r="C769" t="s">
        <v>595</v>
      </c>
    </row>
    <row r="770" spans="1:3" x14ac:dyDescent="0.25">
      <c r="A770" t="str">
        <f>"17882114431054216"</f>
        <v>17882114431054216</v>
      </c>
      <c r="B770" t="s">
        <v>31</v>
      </c>
      <c r="C770" t="s">
        <v>595</v>
      </c>
    </row>
    <row r="771" spans="1:3" x14ac:dyDescent="0.25">
      <c r="A771" t="str">
        <f>"17868148447085641"</f>
        <v>17868148447085641</v>
      </c>
      <c r="B771" t="s">
        <v>596</v>
      </c>
      <c r="C771" t="s">
        <v>597</v>
      </c>
    </row>
    <row r="772" spans="1:3" x14ac:dyDescent="0.25">
      <c r="A772" t="str">
        <f>"17868148447085641"</f>
        <v>17868148447085641</v>
      </c>
      <c r="B772" t="s">
        <v>596</v>
      </c>
      <c r="C772" t="s">
        <v>597</v>
      </c>
    </row>
    <row r="773" spans="1:3" x14ac:dyDescent="0.25">
      <c r="A773" t="str">
        <f>"17870938060102487"</f>
        <v>17870938060102487</v>
      </c>
      <c r="B773" t="s">
        <v>598</v>
      </c>
      <c r="C773" t="s">
        <v>599</v>
      </c>
    </row>
    <row r="774" spans="1:3" x14ac:dyDescent="0.25">
      <c r="A774" t="str">
        <f>"17870938060102487"</f>
        <v>17870938060102487</v>
      </c>
      <c r="B774" t="s">
        <v>598</v>
      </c>
      <c r="C774" t="s">
        <v>599</v>
      </c>
    </row>
    <row r="775" spans="1:3" x14ac:dyDescent="0.25">
      <c r="A775" t="str">
        <f>"17870938060102487"</f>
        <v>17870938060102487</v>
      </c>
      <c r="B775" t="s">
        <v>598</v>
      </c>
      <c r="C775" t="s">
        <v>599</v>
      </c>
    </row>
    <row r="776" spans="1:3" x14ac:dyDescent="0.25">
      <c r="A776" t="str">
        <f>"17858769220154650"</f>
        <v>17858769220154650</v>
      </c>
      <c r="B776" t="s">
        <v>600</v>
      </c>
      <c r="C776" t="s">
        <v>601</v>
      </c>
    </row>
    <row r="777" spans="1:3" x14ac:dyDescent="0.25">
      <c r="A777" t="str">
        <f>"17858769220154650"</f>
        <v>17858769220154650</v>
      </c>
      <c r="B777" t="s">
        <v>600</v>
      </c>
      <c r="C777" t="s">
        <v>601</v>
      </c>
    </row>
    <row r="778" spans="1:3" x14ac:dyDescent="0.25">
      <c r="A778" t="str">
        <f>"17858769220154650"</f>
        <v>17858769220154650</v>
      </c>
      <c r="B778" t="s">
        <v>600</v>
      </c>
      <c r="C778" t="s">
        <v>601</v>
      </c>
    </row>
    <row r="779" spans="1:3" x14ac:dyDescent="0.25">
      <c r="A779" t="str">
        <f>"17889696088032097"</f>
        <v>17889696088032097</v>
      </c>
      <c r="B779" t="s">
        <v>602</v>
      </c>
      <c r="C779" t="s">
        <v>603</v>
      </c>
    </row>
    <row r="780" spans="1:3" x14ac:dyDescent="0.25">
      <c r="A780" t="str">
        <f>"17889696088032097"</f>
        <v>17889696088032097</v>
      </c>
      <c r="B780" t="s">
        <v>602</v>
      </c>
      <c r="C780" t="s">
        <v>603</v>
      </c>
    </row>
    <row r="781" spans="1:3" x14ac:dyDescent="0.25">
      <c r="A781" t="str">
        <f>"17889696088032097"</f>
        <v>17889696088032097</v>
      </c>
      <c r="B781" t="s">
        <v>602</v>
      </c>
      <c r="C781" t="s">
        <v>603</v>
      </c>
    </row>
    <row r="782" spans="1:3" x14ac:dyDescent="0.25">
      <c r="A782" t="str">
        <f>"17858211772181070"</f>
        <v>17858211772181070</v>
      </c>
      <c r="B782" t="s">
        <v>604</v>
      </c>
      <c r="C782" t="s">
        <v>605</v>
      </c>
    </row>
    <row r="783" spans="1:3" x14ac:dyDescent="0.25">
      <c r="A783" t="str">
        <f>"17858211772181070"</f>
        <v>17858211772181070</v>
      </c>
      <c r="B783" t="s">
        <v>604</v>
      </c>
      <c r="C783" t="s">
        <v>605</v>
      </c>
    </row>
    <row r="784" spans="1:3" x14ac:dyDescent="0.25">
      <c r="A784" t="str">
        <f>"17861071141143639"</f>
        <v>17861071141143639</v>
      </c>
      <c r="B784" t="s">
        <v>518</v>
      </c>
      <c r="C784" t="s">
        <v>606</v>
      </c>
    </row>
    <row r="785" spans="1:3" x14ac:dyDescent="0.25">
      <c r="A785" t="str">
        <f>"17861071141143639"</f>
        <v>17861071141143639</v>
      </c>
      <c r="B785" t="s">
        <v>518</v>
      </c>
      <c r="C785" t="s">
        <v>606</v>
      </c>
    </row>
    <row r="786" spans="1:3" x14ac:dyDescent="0.25">
      <c r="A786" t="str">
        <f>"17861071141143639"</f>
        <v>17861071141143639</v>
      </c>
      <c r="B786" t="s">
        <v>518</v>
      </c>
      <c r="C786" t="s">
        <v>606</v>
      </c>
    </row>
    <row r="787" spans="1:3" x14ac:dyDescent="0.25">
      <c r="A787" t="str">
        <f>"17974689580234351"</f>
        <v>17974689580234351</v>
      </c>
      <c r="B787" t="s">
        <v>607</v>
      </c>
      <c r="C787" t="s">
        <v>608</v>
      </c>
    </row>
    <row r="788" spans="1:3" x14ac:dyDescent="0.25">
      <c r="A788" t="str">
        <f>"17974689580234351"</f>
        <v>17974689580234351</v>
      </c>
      <c r="B788" t="s">
        <v>607</v>
      </c>
      <c r="C788" t="s">
        <v>608</v>
      </c>
    </row>
    <row r="789" spans="1:3" x14ac:dyDescent="0.25">
      <c r="A789" t="str">
        <f>"17884430707014033"</f>
        <v>17884430707014033</v>
      </c>
      <c r="B789" t="s">
        <v>609</v>
      </c>
      <c r="C789" t="s">
        <v>610</v>
      </c>
    </row>
    <row r="790" spans="1:3" x14ac:dyDescent="0.25">
      <c r="A790" t="str">
        <f>"17858507227164160"</f>
        <v>17858507227164160</v>
      </c>
      <c r="B790" t="s">
        <v>611</v>
      </c>
      <c r="C790" t="s">
        <v>612</v>
      </c>
    </row>
    <row r="791" spans="1:3" x14ac:dyDescent="0.25">
      <c r="A791" t="str">
        <f>"17884097785055608"</f>
        <v>17884097785055608</v>
      </c>
      <c r="B791" t="s">
        <v>613</v>
      </c>
      <c r="C791" t="s">
        <v>614</v>
      </c>
    </row>
    <row r="792" spans="1:3" x14ac:dyDescent="0.25">
      <c r="A792" t="str">
        <f>"17884430707014033"</f>
        <v>17884430707014033</v>
      </c>
      <c r="B792" t="s">
        <v>609</v>
      </c>
      <c r="C792" t="s">
        <v>610</v>
      </c>
    </row>
    <row r="793" spans="1:3" x14ac:dyDescent="0.25">
      <c r="A793" t="str">
        <f>"17858507227164160"</f>
        <v>17858507227164160</v>
      </c>
      <c r="B793" t="s">
        <v>611</v>
      </c>
      <c r="C793" t="s">
        <v>612</v>
      </c>
    </row>
    <row r="794" spans="1:3" x14ac:dyDescent="0.25">
      <c r="A794" t="str">
        <f>"17884097785055608"</f>
        <v>17884097785055608</v>
      </c>
      <c r="B794" t="s">
        <v>613</v>
      </c>
      <c r="C794" t="s">
        <v>614</v>
      </c>
    </row>
    <row r="795" spans="1:3" x14ac:dyDescent="0.25">
      <c r="A795" t="str">
        <f>"17884430707014033"</f>
        <v>17884430707014033</v>
      </c>
      <c r="B795" t="s">
        <v>609</v>
      </c>
      <c r="C795" t="s">
        <v>610</v>
      </c>
    </row>
    <row r="796" spans="1:3" x14ac:dyDescent="0.25">
      <c r="A796" t="str">
        <f>"17858507227164160"</f>
        <v>17858507227164160</v>
      </c>
      <c r="B796" t="s">
        <v>611</v>
      </c>
      <c r="C796" t="s">
        <v>612</v>
      </c>
    </row>
    <row r="797" spans="1:3" x14ac:dyDescent="0.25">
      <c r="A797" t="str">
        <f>"17884097785055608"</f>
        <v>17884097785055608</v>
      </c>
      <c r="B797" t="s">
        <v>613</v>
      </c>
      <c r="C797" t="s">
        <v>614</v>
      </c>
    </row>
    <row r="798" spans="1:3" x14ac:dyDescent="0.25">
      <c r="A798" t="str">
        <f>"17974028029228853"</f>
        <v>17974028029228853</v>
      </c>
      <c r="B798" t="s">
        <v>615</v>
      </c>
      <c r="C798" t="s">
        <v>616</v>
      </c>
    </row>
    <row r="799" spans="1:3" x14ac:dyDescent="0.25">
      <c r="A799" t="str">
        <f>"17974028029228853"</f>
        <v>17974028029228853</v>
      </c>
      <c r="B799" t="s">
        <v>615</v>
      </c>
      <c r="C799" t="s">
        <v>616</v>
      </c>
    </row>
    <row r="800" spans="1:3" x14ac:dyDescent="0.25">
      <c r="A800" t="str">
        <f>"17973077470237188"</f>
        <v>17973077470237188</v>
      </c>
      <c r="B800" t="s">
        <v>617</v>
      </c>
      <c r="C800" t="s">
        <v>618</v>
      </c>
    </row>
    <row r="801" spans="1:3" x14ac:dyDescent="0.25">
      <c r="A801" t="str">
        <f>"17875076764330451"</f>
        <v>17875076764330451</v>
      </c>
      <c r="B801" t="s">
        <v>619</v>
      </c>
      <c r="C801" t="s">
        <v>620</v>
      </c>
    </row>
    <row r="802" spans="1:3" x14ac:dyDescent="0.25">
      <c r="A802" t="str">
        <f>"17973077470237188"</f>
        <v>17973077470237188</v>
      </c>
      <c r="B802" t="s">
        <v>617</v>
      </c>
      <c r="C802" t="s">
        <v>618</v>
      </c>
    </row>
    <row r="803" spans="1:3" x14ac:dyDescent="0.25">
      <c r="A803" t="str">
        <f>"17875076764330451"</f>
        <v>17875076764330451</v>
      </c>
      <c r="B803" t="s">
        <v>619</v>
      </c>
      <c r="C803" t="s">
        <v>620</v>
      </c>
    </row>
    <row r="804" spans="1:3" x14ac:dyDescent="0.25">
      <c r="A804" t="str">
        <f>"17859742126187448"</f>
        <v>17859742126187448</v>
      </c>
      <c r="B804" t="s">
        <v>469</v>
      </c>
      <c r="C804" t="s">
        <v>621</v>
      </c>
    </row>
    <row r="805" spans="1:3" x14ac:dyDescent="0.25">
      <c r="A805" t="str">
        <f>"17887826731035718"</f>
        <v>17887826731035718</v>
      </c>
      <c r="B805" t="s">
        <v>622</v>
      </c>
      <c r="C805" t="s">
        <v>623</v>
      </c>
    </row>
    <row r="806" spans="1:3" x14ac:dyDescent="0.25">
      <c r="A806" t="str">
        <f>"17859742126187448"</f>
        <v>17859742126187448</v>
      </c>
      <c r="B806" t="s">
        <v>469</v>
      </c>
      <c r="C806" t="s">
        <v>621</v>
      </c>
    </row>
    <row r="807" spans="1:3" x14ac:dyDescent="0.25">
      <c r="A807" t="str">
        <f>"17887826731035718"</f>
        <v>17887826731035718</v>
      </c>
      <c r="B807" t="s">
        <v>622</v>
      </c>
      <c r="C807" t="s">
        <v>623</v>
      </c>
    </row>
    <row r="808" spans="1:3" x14ac:dyDescent="0.25">
      <c r="A808" t="str">
        <f>"17859969976171370"</f>
        <v>17859969976171370</v>
      </c>
      <c r="B808" t="s">
        <v>624</v>
      </c>
      <c r="C808" t="s">
        <v>625</v>
      </c>
    </row>
    <row r="809" spans="1:3" x14ac:dyDescent="0.25">
      <c r="A809" t="str">
        <f>"17885111788058847"</f>
        <v>17885111788058847</v>
      </c>
      <c r="B809" t="s">
        <v>66</v>
      </c>
      <c r="C809" t="s">
        <v>626</v>
      </c>
    </row>
    <row r="810" spans="1:3" x14ac:dyDescent="0.25">
      <c r="A810" t="str">
        <f>"17859969976171370"</f>
        <v>17859969976171370</v>
      </c>
      <c r="B810" t="s">
        <v>624</v>
      </c>
      <c r="C810" t="s">
        <v>625</v>
      </c>
    </row>
    <row r="811" spans="1:3" x14ac:dyDescent="0.25">
      <c r="A811" t="str">
        <f>"17885111788058847"</f>
        <v>17885111788058847</v>
      </c>
      <c r="B811" t="s">
        <v>66</v>
      </c>
      <c r="C811" t="s">
        <v>626</v>
      </c>
    </row>
    <row r="812" spans="1:3" x14ac:dyDescent="0.25">
      <c r="A812" t="str">
        <f>"17872047463103132"</f>
        <v>17872047463103132</v>
      </c>
      <c r="B812" t="s">
        <v>627</v>
      </c>
      <c r="C812" t="s">
        <v>628</v>
      </c>
    </row>
    <row r="813" spans="1:3" x14ac:dyDescent="0.25">
      <c r="A813" t="str">
        <f>"17872047463103132"</f>
        <v>17872047463103132</v>
      </c>
      <c r="B813" t="s">
        <v>627</v>
      </c>
      <c r="C813" t="s">
        <v>628</v>
      </c>
    </row>
    <row r="814" spans="1:3" x14ac:dyDescent="0.25">
      <c r="A814" t="str">
        <f>"17881593739068165"</f>
        <v>17881593739068165</v>
      </c>
      <c r="B814" t="s">
        <v>629</v>
      </c>
      <c r="C814" t="s">
        <v>630</v>
      </c>
    </row>
    <row r="815" spans="1:3" x14ac:dyDescent="0.25">
      <c r="A815" t="str">
        <f>"17881593739068165"</f>
        <v>17881593739068165</v>
      </c>
      <c r="B815" t="s">
        <v>629</v>
      </c>
      <c r="C815" t="s">
        <v>630</v>
      </c>
    </row>
    <row r="816" spans="1:3" x14ac:dyDescent="0.25">
      <c r="A816" t="str">
        <f>"17872295818090932"</f>
        <v>17872295818090932</v>
      </c>
      <c r="B816" t="s">
        <v>631</v>
      </c>
      <c r="C816" t="s">
        <v>632</v>
      </c>
    </row>
    <row r="817" spans="1:3" x14ac:dyDescent="0.25">
      <c r="A817" t="str">
        <f>"17872295818090932"</f>
        <v>17872295818090932</v>
      </c>
      <c r="B817" t="s">
        <v>631</v>
      </c>
      <c r="C817" t="s">
        <v>632</v>
      </c>
    </row>
    <row r="818" spans="1:3" x14ac:dyDescent="0.25">
      <c r="A818" t="str">
        <f>"17886251695042537"</f>
        <v>17886251695042537</v>
      </c>
      <c r="B818" t="s">
        <v>633</v>
      </c>
      <c r="C818" t="s">
        <v>634</v>
      </c>
    </row>
    <row r="819" spans="1:3" x14ac:dyDescent="0.25">
      <c r="A819" t="str">
        <f>"17886251695042537"</f>
        <v>17886251695042537</v>
      </c>
      <c r="B819" t="s">
        <v>633</v>
      </c>
      <c r="C819" t="s">
        <v>634</v>
      </c>
    </row>
    <row r="820" spans="1:3" x14ac:dyDescent="0.25">
      <c r="A820" t="str">
        <f>"17886251695042537"</f>
        <v>17886251695042537</v>
      </c>
      <c r="B820" t="s">
        <v>633</v>
      </c>
      <c r="C820" t="s">
        <v>634</v>
      </c>
    </row>
    <row r="821" spans="1:3" x14ac:dyDescent="0.25">
      <c r="A821" t="str">
        <f>"17867883631138379"</f>
        <v>17867883631138379</v>
      </c>
      <c r="B821" t="s">
        <v>635</v>
      </c>
      <c r="C821" t="s">
        <v>636</v>
      </c>
    </row>
    <row r="822" spans="1:3" x14ac:dyDescent="0.25">
      <c r="A822" t="str">
        <f>"17867883631138379"</f>
        <v>17867883631138379</v>
      </c>
      <c r="B822" t="s">
        <v>635</v>
      </c>
      <c r="C822" t="s">
        <v>636</v>
      </c>
    </row>
    <row r="823" spans="1:3" x14ac:dyDescent="0.25">
      <c r="A823" t="str">
        <f>"17867883631138379"</f>
        <v>17867883631138379</v>
      </c>
      <c r="B823" t="s">
        <v>635</v>
      </c>
      <c r="C823" t="s">
        <v>636</v>
      </c>
    </row>
    <row r="824" spans="1:3" x14ac:dyDescent="0.25">
      <c r="A824" t="str">
        <f>"17866000300137431"</f>
        <v>17866000300137431</v>
      </c>
      <c r="B824" t="s">
        <v>637</v>
      </c>
      <c r="C824" t="s">
        <v>638</v>
      </c>
    </row>
    <row r="825" spans="1:3" x14ac:dyDescent="0.25">
      <c r="A825" t="str">
        <f>"17847826396196652"</f>
        <v>17847826396196652</v>
      </c>
      <c r="B825" t="s">
        <v>639</v>
      </c>
      <c r="C825" t="s">
        <v>640</v>
      </c>
    </row>
    <row r="826" spans="1:3" x14ac:dyDescent="0.25">
      <c r="A826" t="str">
        <f>"17866000300137431"</f>
        <v>17866000300137431</v>
      </c>
      <c r="B826" t="s">
        <v>637</v>
      </c>
      <c r="C826" t="s">
        <v>638</v>
      </c>
    </row>
    <row r="827" spans="1:3" x14ac:dyDescent="0.25">
      <c r="A827" t="str">
        <f>"17847826396196652"</f>
        <v>17847826396196652</v>
      </c>
      <c r="B827" t="s">
        <v>639</v>
      </c>
      <c r="C827" t="s">
        <v>640</v>
      </c>
    </row>
    <row r="828" spans="1:3" x14ac:dyDescent="0.25">
      <c r="A828" t="str">
        <f>"17866000300137431"</f>
        <v>17866000300137431</v>
      </c>
      <c r="B828" t="s">
        <v>637</v>
      </c>
      <c r="C828" t="s">
        <v>638</v>
      </c>
    </row>
    <row r="829" spans="1:3" x14ac:dyDescent="0.25">
      <c r="A829" t="str">
        <f>"17847826396196652"</f>
        <v>17847826396196652</v>
      </c>
      <c r="B829" t="s">
        <v>639</v>
      </c>
      <c r="C829" t="s">
        <v>640</v>
      </c>
    </row>
    <row r="830" spans="1:3" x14ac:dyDescent="0.25">
      <c r="A830" t="str">
        <f>"17865331705152465"</f>
        <v>17865331705152465</v>
      </c>
      <c r="B830" t="s">
        <v>641</v>
      </c>
      <c r="C830" t="s">
        <v>642</v>
      </c>
    </row>
    <row r="831" spans="1:3" x14ac:dyDescent="0.25">
      <c r="A831" t="str">
        <f>"17865331705152465"</f>
        <v>17865331705152465</v>
      </c>
      <c r="B831" t="s">
        <v>641</v>
      </c>
      <c r="C831" t="s">
        <v>642</v>
      </c>
    </row>
    <row r="832" spans="1:3" x14ac:dyDescent="0.25">
      <c r="A832" t="str">
        <f>"17890045723020153"</f>
        <v>17890045723020153</v>
      </c>
      <c r="B832" t="s">
        <v>643</v>
      </c>
      <c r="C832" t="s">
        <v>644</v>
      </c>
    </row>
    <row r="833" spans="1:3" x14ac:dyDescent="0.25">
      <c r="A833" t="str">
        <f>"17890045723020153"</f>
        <v>17890045723020153</v>
      </c>
      <c r="B833" t="s">
        <v>643</v>
      </c>
      <c r="C833" t="s">
        <v>644</v>
      </c>
    </row>
    <row r="834" spans="1:3" x14ac:dyDescent="0.25">
      <c r="A834" t="str">
        <f>"17890045723020153"</f>
        <v>17890045723020153</v>
      </c>
      <c r="B834" t="s">
        <v>643</v>
      </c>
      <c r="C834" t="s">
        <v>644</v>
      </c>
    </row>
    <row r="835" spans="1:3" x14ac:dyDescent="0.25">
      <c r="A835" t="str">
        <f>"18015022258175727"</f>
        <v>18015022258175727</v>
      </c>
      <c r="B835" t="s">
        <v>3</v>
      </c>
      <c r="C835" t="s">
        <v>645</v>
      </c>
    </row>
    <row r="836" spans="1:3" x14ac:dyDescent="0.25">
      <c r="A836" t="str">
        <f>"18042165757097749"</f>
        <v>18042165757097749</v>
      </c>
      <c r="B836" t="s">
        <v>646</v>
      </c>
      <c r="C836" t="s">
        <v>647</v>
      </c>
    </row>
    <row r="837" spans="1:3" x14ac:dyDescent="0.25">
      <c r="A837" t="str">
        <f>"17948770495277337"</f>
        <v>17948770495277337</v>
      </c>
      <c r="B837" t="s">
        <v>648</v>
      </c>
      <c r="C837" t="s">
        <v>649</v>
      </c>
    </row>
    <row r="838" spans="1:3" x14ac:dyDescent="0.25">
      <c r="A838" t="str">
        <f>"18049534492077557"</f>
        <v>18049534492077557</v>
      </c>
      <c r="B838" t="s">
        <v>285</v>
      </c>
      <c r="C838" t="s">
        <v>650</v>
      </c>
    </row>
    <row r="839" spans="1:3" x14ac:dyDescent="0.25">
      <c r="A839" t="str">
        <f>"18049534492077557"</f>
        <v>18049534492077557</v>
      </c>
      <c r="B839" t="s">
        <v>285</v>
      </c>
      <c r="C839" t="s">
        <v>650</v>
      </c>
    </row>
    <row r="840" spans="1:3" x14ac:dyDescent="0.25">
      <c r="A840" t="str">
        <f>"18049534492077557"</f>
        <v>18049534492077557</v>
      </c>
      <c r="B840" t="s">
        <v>285</v>
      </c>
      <c r="C840" t="s">
        <v>650</v>
      </c>
    </row>
    <row r="841" spans="1:3" x14ac:dyDescent="0.25">
      <c r="A841" t="str">
        <f>"18049534492077557"</f>
        <v>18049534492077557</v>
      </c>
      <c r="B841" t="s">
        <v>285</v>
      </c>
      <c r="C841" t="s">
        <v>650</v>
      </c>
    </row>
    <row r="842" spans="1:3" x14ac:dyDescent="0.25">
      <c r="A842" t="str">
        <f>"18049534492077557"</f>
        <v>18049534492077557</v>
      </c>
      <c r="B842" t="s">
        <v>285</v>
      </c>
      <c r="C842" t="s">
        <v>650</v>
      </c>
    </row>
    <row r="843" spans="1:3" x14ac:dyDescent="0.25">
      <c r="A843" t="str">
        <f>"18018225568170277"</f>
        <v>18018225568170277</v>
      </c>
      <c r="B843" t="s">
        <v>651</v>
      </c>
      <c r="C843" t="s">
        <v>652</v>
      </c>
    </row>
    <row r="844" spans="1:3" x14ac:dyDescent="0.25">
      <c r="A844" t="str">
        <f>"17848960624416558"</f>
        <v>17848960624416558</v>
      </c>
      <c r="B844" t="s">
        <v>653</v>
      </c>
      <c r="C844" t="s">
        <v>654</v>
      </c>
    </row>
    <row r="845" spans="1:3" x14ac:dyDescent="0.25">
      <c r="A845" t="str">
        <f>"18023060776164716"</f>
        <v>18023060776164716</v>
      </c>
      <c r="B845" t="s">
        <v>655</v>
      </c>
      <c r="C845" t="s">
        <v>656</v>
      </c>
    </row>
    <row r="846" spans="1:3" x14ac:dyDescent="0.25">
      <c r="A846" t="str">
        <f>"17857203286464069"</f>
        <v>17857203286464069</v>
      </c>
      <c r="B846" t="s">
        <v>657</v>
      </c>
      <c r="C846" t="s">
        <v>658</v>
      </c>
    </row>
    <row r="847" spans="1:3" x14ac:dyDescent="0.25">
      <c r="A847" t="str">
        <f>"18018225568170277"</f>
        <v>18018225568170277</v>
      </c>
      <c r="B847" t="s">
        <v>651</v>
      </c>
      <c r="C847" t="s">
        <v>652</v>
      </c>
    </row>
    <row r="848" spans="1:3" x14ac:dyDescent="0.25">
      <c r="A848" t="str">
        <f>"17848960624416558"</f>
        <v>17848960624416558</v>
      </c>
      <c r="B848" t="s">
        <v>653</v>
      </c>
      <c r="C848" t="s">
        <v>654</v>
      </c>
    </row>
    <row r="849" spans="1:3" x14ac:dyDescent="0.25">
      <c r="A849" t="str">
        <f>"18023060776164716"</f>
        <v>18023060776164716</v>
      </c>
      <c r="B849" t="s">
        <v>655</v>
      </c>
      <c r="C849" t="s">
        <v>656</v>
      </c>
    </row>
    <row r="850" spans="1:3" x14ac:dyDescent="0.25">
      <c r="A850" t="str">
        <f>"17857203286464069"</f>
        <v>17857203286464069</v>
      </c>
      <c r="B850" t="s">
        <v>657</v>
      </c>
      <c r="C850" t="s">
        <v>658</v>
      </c>
    </row>
    <row r="851" spans="1:3" x14ac:dyDescent="0.25">
      <c r="A851" t="str">
        <f>"18023325163162412"</f>
        <v>18023325163162412</v>
      </c>
      <c r="B851" t="s">
        <v>659</v>
      </c>
      <c r="C851" t="s">
        <v>660</v>
      </c>
    </row>
    <row r="852" spans="1:3" x14ac:dyDescent="0.25">
      <c r="A852" t="str">
        <f>"18023325163162412"</f>
        <v>18023325163162412</v>
      </c>
      <c r="B852" t="s">
        <v>659</v>
      </c>
      <c r="C852" t="s">
        <v>660</v>
      </c>
    </row>
    <row r="853" spans="1:3" x14ac:dyDescent="0.25">
      <c r="A853" t="str">
        <f>"18023325163162412"</f>
        <v>18023325163162412</v>
      </c>
      <c r="B853" t="s">
        <v>659</v>
      </c>
      <c r="C853" t="s">
        <v>660</v>
      </c>
    </row>
    <row r="854" spans="1:3" x14ac:dyDescent="0.25">
      <c r="A854" t="str">
        <f>"17864437945190342"</f>
        <v>17864437945190342</v>
      </c>
      <c r="B854" t="s">
        <v>661</v>
      </c>
      <c r="C854" t="s">
        <v>662</v>
      </c>
    </row>
    <row r="855" spans="1:3" x14ac:dyDescent="0.25">
      <c r="A855" t="str">
        <f>"17864437945190342"</f>
        <v>17864437945190342</v>
      </c>
      <c r="B855" t="s">
        <v>661</v>
      </c>
      <c r="C855" t="s">
        <v>662</v>
      </c>
    </row>
    <row r="856" spans="1:3" x14ac:dyDescent="0.25">
      <c r="A856" t="str">
        <f>"17864437945190342"</f>
        <v>17864437945190342</v>
      </c>
      <c r="B856" t="s">
        <v>661</v>
      </c>
      <c r="C856" t="s">
        <v>662</v>
      </c>
    </row>
    <row r="857" spans="1:3" x14ac:dyDescent="0.25">
      <c r="A857" t="str">
        <f>"17866735381131855"</f>
        <v>17866735381131855</v>
      </c>
      <c r="B857" t="s">
        <v>663</v>
      </c>
      <c r="C857" t="s">
        <v>664</v>
      </c>
    </row>
    <row r="858" spans="1:3" x14ac:dyDescent="0.25">
      <c r="A858" t="str">
        <f>"17866735381131855"</f>
        <v>17866735381131855</v>
      </c>
      <c r="B858" t="s">
        <v>663</v>
      </c>
      <c r="C858" t="s">
        <v>664</v>
      </c>
    </row>
    <row r="859" spans="1:3" x14ac:dyDescent="0.25">
      <c r="A859" t="str">
        <f>"17849262337198620"</f>
        <v>17849262337198620</v>
      </c>
      <c r="B859" t="s">
        <v>665</v>
      </c>
      <c r="C859" t="s">
        <v>666</v>
      </c>
    </row>
    <row r="860" spans="1:3" x14ac:dyDescent="0.25">
      <c r="A860" t="str">
        <f>"17849262337198620"</f>
        <v>17849262337198620</v>
      </c>
      <c r="B860" t="s">
        <v>665</v>
      </c>
      <c r="C860" t="s">
        <v>666</v>
      </c>
    </row>
    <row r="861" spans="1:3" x14ac:dyDescent="0.25">
      <c r="A861" t="str">
        <f>"17893581538023830"</f>
        <v>17893581538023830</v>
      </c>
      <c r="B861" t="s">
        <v>9</v>
      </c>
      <c r="C861" t="s">
        <v>667</v>
      </c>
    </row>
    <row r="862" spans="1:3" x14ac:dyDescent="0.25">
      <c r="A862" t="str">
        <f>"17876513188088046"</f>
        <v>17876513188088046</v>
      </c>
      <c r="B862" t="s">
        <v>624</v>
      </c>
      <c r="C862" t="s">
        <v>668</v>
      </c>
    </row>
    <row r="863" spans="1:3" x14ac:dyDescent="0.25">
      <c r="A863" t="str">
        <f>"17893581538023830"</f>
        <v>17893581538023830</v>
      </c>
      <c r="B863" t="s">
        <v>9</v>
      </c>
      <c r="C863" t="s">
        <v>667</v>
      </c>
    </row>
    <row r="864" spans="1:3" x14ac:dyDescent="0.25">
      <c r="A864" t="str">
        <f>"17876513188088046"</f>
        <v>17876513188088046</v>
      </c>
      <c r="B864" t="s">
        <v>624</v>
      </c>
      <c r="C864" t="s">
        <v>668</v>
      </c>
    </row>
    <row r="865" spans="1:3" x14ac:dyDescent="0.25">
      <c r="A865" t="str">
        <f>"17894017237021947"</f>
        <v>17894017237021947</v>
      </c>
      <c r="B865" t="s">
        <v>669</v>
      </c>
      <c r="C865" t="s">
        <v>670</v>
      </c>
    </row>
    <row r="866" spans="1:3" x14ac:dyDescent="0.25">
      <c r="A866" t="str">
        <f>"17894017237021947"</f>
        <v>17894017237021947</v>
      </c>
      <c r="B866" t="s">
        <v>669</v>
      </c>
      <c r="C866" t="s">
        <v>670</v>
      </c>
    </row>
    <row r="867" spans="1:3" x14ac:dyDescent="0.25">
      <c r="A867" t="str">
        <f>"17892374509037343"</f>
        <v>17892374509037343</v>
      </c>
      <c r="B867" t="s">
        <v>671</v>
      </c>
      <c r="C867" t="s">
        <v>672</v>
      </c>
    </row>
    <row r="868" spans="1:3" x14ac:dyDescent="0.25">
      <c r="A868" t="str">
        <f>"17892374509037343"</f>
        <v>17892374509037343</v>
      </c>
      <c r="B868" t="s">
        <v>671</v>
      </c>
      <c r="C868" t="s">
        <v>672</v>
      </c>
    </row>
    <row r="869" spans="1:3" x14ac:dyDescent="0.25">
      <c r="A869" t="str">
        <f>"17869125583131663"</f>
        <v>17869125583131663</v>
      </c>
      <c r="B869" t="s">
        <v>673</v>
      </c>
      <c r="C869" t="s">
        <v>674</v>
      </c>
    </row>
    <row r="870" spans="1:3" x14ac:dyDescent="0.25">
      <c r="A870" t="str">
        <f>"17869125583131663"</f>
        <v>17869125583131663</v>
      </c>
      <c r="B870" t="s">
        <v>673</v>
      </c>
      <c r="C870" t="s">
        <v>674</v>
      </c>
    </row>
    <row r="871" spans="1:3" x14ac:dyDescent="0.25">
      <c r="A871" t="str">
        <f>"17869125583131663"</f>
        <v>17869125583131663</v>
      </c>
      <c r="B871" t="s">
        <v>673</v>
      </c>
      <c r="C871" t="s">
        <v>674</v>
      </c>
    </row>
    <row r="872" spans="1:3" x14ac:dyDescent="0.25">
      <c r="A872" t="str">
        <f>"17877317035086950"</f>
        <v>17877317035086950</v>
      </c>
      <c r="B872" t="s">
        <v>665</v>
      </c>
      <c r="C872" t="s">
        <v>675</v>
      </c>
    </row>
    <row r="873" spans="1:3" x14ac:dyDescent="0.25">
      <c r="A873" t="str">
        <f>"17877317035086950"</f>
        <v>17877317035086950</v>
      </c>
      <c r="B873" t="s">
        <v>665</v>
      </c>
      <c r="C873" t="s">
        <v>675</v>
      </c>
    </row>
    <row r="874" spans="1:3" x14ac:dyDescent="0.25">
      <c r="A874" t="str">
        <f>"17877317035086950"</f>
        <v>17877317035086950</v>
      </c>
      <c r="B874" t="s">
        <v>665</v>
      </c>
      <c r="C874" t="s">
        <v>675</v>
      </c>
    </row>
    <row r="875" spans="1:3" x14ac:dyDescent="0.25">
      <c r="A875" t="str">
        <f>"17865741955387103"</f>
        <v>17865741955387103</v>
      </c>
      <c r="B875" t="s">
        <v>5</v>
      </c>
      <c r="C875" t="s">
        <v>676</v>
      </c>
    </row>
    <row r="876" spans="1:3" x14ac:dyDescent="0.25">
      <c r="A876" t="str">
        <f>"17865741955387103"</f>
        <v>17865741955387103</v>
      </c>
      <c r="B876" t="s">
        <v>5</v>
      </c>
      <c r="C876" t="s">
        <v>676</v>
      </c>
    </row>
    <row r="877" spans="1:3" x14ac:dyDescent="0.25">
      <c r="A877" t="str">
        <f>"17884999987112509"</f>
        <v>17884999987112509</v>
      </c>
      <c r="B877" t="s">
        <v>294</v>
      </c>
      <c r="C877" t="s">
        <v>677</v>
      </c>
    </row>
    <row r="878" spans="1:3" x14ac:dyDescent="0.25">
      <c r="A878" t="str">
        <f>"17884999987112509"</f>
        <v>17884999987112509</v>
      </c>
      <c r="B878" t="s">
        <v>294</v>
      </c>
      <c r="C878" t="s">
        <v>677</v>
      </c>
    </row>
    <row r="879" spans="1:3" x14ac:dyDescent="0.25">
      <c r="A879" t="str">
        <f>"17898531028028421"</f>
        <v>17898531028028421</v>
      </c>
      <c r="B879" t="s">
        <v>678</v>
      </c>
      <c r="C879" t="s">
        <v>679</v>
      </c>
    </row>
    <row r="880" spans="1:3" x14ac:dyDescent="0.25">
      <c r="A880" t="str">
        <f>"17898531028028421"</f>
        <v>17898531028028421</v>
      </c>
      <c r="B880" t="s">
        <v>678</v>
      </c>
      <c r="C880" t="s">
        <v>679</v>
      </c>
    </row>
    <row r="881" spans="1:3" x14ac:dyDescent="0.25">
      <c r="A881" t="str">
        <f>"17898531028028421"</f>
        <v>17898531028028421</v>
      </c>
      <c r="B881" t="s">
        <v>678</v>
      </c>
      <c r="C881" t="s">
        <v>679</v>
      </c>
    </row>
    <row r="882" spans="1:3" x14ac:dyDescent="0.25">
      <c r="A882" t="str">
        <f>"18046544374191995"</f>
        <v>18046544374191995</v>
      </c>
      <c r="B882" t="s">
        <v>680</v>
      </c>
      <c r="C882" t="s">
        <v>681</v>
      </c>
    </row>
    <row r="883" spans="1:3" x14ac:dyDescent="0.25">
      <c r="A883" t="str">
        <f>"18046544374191995"</f>
        <v>18046544374191995</v>
      </c>
      <c r="B883" t="s">
        <v>680</v>
      </c>
      <c r="C883" t="s">
        <v>681</v>
      </c>
    </row>
    <row r="884" spans="1:3" x14ac:dyDescent="0.25">
      <c r="A884" t="str">
        <f>"18047312977092311"</f>
        <v>18047312977092311</v>
      </c>
      <c r="B884" t="s">
        <v>682</v>
      </c>
      <c r="C884" t="s">
        <v>683</v>
      </c>
    </row>
    <row r="885" spans="1:3" x14ac:dyDescent="0.25">
      <c r="A885" t="str">
        <f>"18047312977092311"</f>
        <v>18047312977092311</v>
      </c>
      <c r="B885" t="s">
        <v>682</v>
      </c>
      <c r="C885" t="s">
        <v>683</v>
      </c>
    </row>
    <row r="886" spans="1:3" x14ac:dyDescent="0.25">
      <c r="A886" t="str">
        <f t="shared" ref="A886:A891" si="0">"17898310102049562"</f>
        <v>17898310102049562</v>
      </c>
      <c r="B886" t="s">
        <v>684</v>
      </c>
      <c r="C886" t="s">
        <v>685</v>
      </c>
    </row>
    <row r="887" spans="1:3" x14ac:dyDescent="0.25">
      <c r="A887" t="str">
        <f t="shared" si="0"/>
        <v>17898310102049562</v>
      </c>
      <c r="B887" t="s">
        <v>684</v>
      </c>
      <c r="C887" t="s">
        <v>685</v>
      </c>
    </row>
    <row r="888" spans="1:3" x14ac:dyDescent="0.25">
      <c r="A888" t="str">
        <f t="shared" si="0"/>
        <v>17898310102049562</v>
      </c>
      <c r="B888" t="s">
        <v>684</v>
      </c>
      <c r="C888" t="s">
        <v>685</v>
      </c>
    </row>
    <row r="889" spans="1:3" x14ac:dyDescent="0.25">
      <c r="A889" t="str">
        <f t="shared" si="0"/>
        <v>17898310102049562</v>
      </c>
      <c r="B889" t="s">
        <v>684</v>
      </c>
      <c r="C889" t="s">
        <v>685</v>
      </c>
    </row>
    <row r="890" spans="1:3" x14ac:dyDescent="0.25">
      <c r="A890" t="str">
        <f t="shared" si="0"/>
        <v>17898310102049562</v>
      </c>
      <c r="B890" t="s">
        <v>684</v>
      </c>
      <c r="C890" t="s">
        <v>685</v>
      </c>
    </row>
    <row r="891" spans="1:3" x14ac:dyDescent="0.25">
      <c r="A891" t="str">
        <f t="shared" si="0"/>
        <v>17898310102049562</v>
      </c>
      <c r="B891" t="s">
        <v>684</v>
      </c>
      <c r="C891" t="s">
        <v>685</v>
      </c>
    </row>
    <row r="892" spans="1:3" x14ac:dyDescent="0.25">
      <c r="A892" t="str">
        <f>"17898986668031757"</f>
        <v>17898986668031757</v>
      </c>
      <c r="B892" t="s">
        <v>686</v>
      </c>
      <c r="C892" t="s">
        <v>687</v>
      </c>
    </row>
    <row r="893" spans="1:3" x14ac:dyDescent="0.25">
      <c r="A893" t="str">
        <f>"17896273213044947"</f>
        <v>17896273213044947</v>
      </c>
      <c r="B893" t="s">
        <v>688</v>
      </c>
      <c r="C893" t="s">
        <v>689</v>
      </c>
    </row>
    <row r="894" spans="1:3" x14ac:dyDescent="0.25">
      <c r="A894" t="str">
        <f>"17891339797065542"</f>
        <v>17891339797065542</v>
      </c>
      <c r="B894" t="s">
        <v>690</v>
      </c>
      <c r="C894" t="s">
        <v>691</v>
      </c>
    </row>
    <row r="895" spans="1:3" x14ac:dyDescent="0.25">
      <c r="A895" t="str">
        <f>"17898986668031757"</f>
        <v>17898986668031757</v>
      </c>
      <c r="B895" t="s">
        <v>686</v>
      </c>
      <c r="C895" t="s">
        <v>687</v>
      </c>
    </row>
    <row r="896" spans="1:3" x14ac:dyDescent="0.25">
      <c r="A896" t="str">
        <f>"17896273213044947"</f>
        <v>17896273213044947</v>
      </c>
      <c r="B896" t="s">
        <v>688</v>
      </c>
      <c r="C896" t="s">
        <v>689</v>
      </c>
    </row>
    <row r="897" spans="1:3" x14ac:dyDescent="0.25">
      <c r="A897" t="str">
        <f>"17891339797065542"</f>
        <v>17891339797065542</v>
      </c>
      <c r="B897" t="s">
        <v>690</v>
      </c>
      <c r="C897" t="s">
        <v>691</v>
      </c>
    </row>
    <row r="898" spans="1:3" x14ac:dyDescent="0.25">
      <c r="A898" t="str">
        <f>"18068692804076736"</f>
        <v>18068692804076736</v>
      </c>
      <c r="B898" t="s">
        <v>80</v>
      </c>
      <c r="C898" t="s">
        <v>692</v>
      </c>
    </row>
    <row r="899" spans="1:3" x14ac:dyDescent="0.25">
      <c r="A899" t="str">
        <f>"18068692804076736"</f>
        <v>18068692804076736</v>
      </c>
      <c r="B899" t="s">
        <v>80</v>
      </c>
      <c r="C899" t="s">
        <v>692</v>
      </c>
    </row>
    <row r="900" spans="1:3" x14ac:dyDescent="0.25">
      <c r="A900" t="str">
        <f>"17873792065188456"</f>
        <v>17873792065188456</v>
      </c>
      <c r="B900" t="s">
        <v>693</v>
      </c>
      <c r="C900" t="s">
        <v>694</v>
      </c>
    </row>
    <row r="901" spans="1:3" x14ac:dyDescent="0.25">
      <c r="A901" t="str">
        <f>"17873013211193435"</f>
        <v>17873013211193435</v>
      </c>
      <c r="B901" t="s">
        <v>518</v>
      </c>
      <c r="C901" t="s">
        <v>695</v>
      </c>
    </row>
    <row r="902" spans="1:3" x14ac:dyDescent="0.25">
      <c r="A902" t="str">
        <f>"17888551507101816"</f>
        <v>17888551507101816</v>
      </c>
      <c r="B902" t="s">
        <v>696</v>
      </c>
      <c r="C902" t="s">
        <v>697</v>
      </c>
    </row>
    <row r="903" spans="1:3" x14ac:dyDescent="0.25">
      <c r="A903" t="str">
        <f>"17873792065188456"</f>
        <v>17873792065188456</v>
      </c>
      <c r="B903" t="s">
        <v>693</v>
      </c>
      <c r="C903" t="s">
        <v>694</v>
      </c>
    </row>
    <row r="904" spans="1:3" x14ac:dyDescent="0.25">
      <c r="A904" t="str">
        <f>"17873013211193435"</f>
        <v>17873013211193435</v>
      </c>
      <c r="B904" t="s">
        <v>518</v>
      </c>
      <c r="C904" t="s">
        <v>695</v>
      </c>
    </row>
    <row r="905" spans="1:3" x14ac:dyDescent="0.25">
      <c r="A905" t="str">
        <f>"17888551507101816"</f>
        <v>17888551507101816</v>
      </c>
      <c r="B905" t="s">
        <v>696</v>
      </c>
      <c r="C905" t="s">
        <v>697</v>
      </c>
    </row>
    <row r="906" spans="1:3" x14ac:dyDescent="0.25">
      <c r="A906" t="str">
        <f>"17873792065188456"</f>
        <v>17873792065188456</v>
      </c>
      <c r="B906" t="s">
        <v>693</v>
      </c>
      <c r="C906" t="s">
        <v>694</v>
      </c>
    </row>
    <row r="907" spans="1:3" x14ac:dyDescent="0.25">
      <c r="A907" t="str">
        <f>"17873013211193435"</f>
        <v>17873013211193435</v>
      </c>
      <c r="B907" t="s">
        <v>518</v>
      </c>
      <c r="C907" t="s">
        <v>695</v>
      </c>
    </row>
    <row r="908" spans="1:3" x14ac:dyDescent="0.25">
      <c r="A908" t="str">
        <f>"17888551507101816"</f>
        <v>17888551507101816</v>
      </c>
      <c r="B908" t="s">
        <v>696</v>
      </c>
      <c r="C908" t="s">
        <v>697</v>
      </c>
    </row>
    <row r="909" spans="1:3" x14ac:dyDescent="0.25">
      <c r="A909" t="str">
        <f>"17867850745425293"</f>
        <v>17867850745425293</v>
      </c>
      <c r="B909" t="s">
        <v>698</v>
      </c>
      <c r="C909" t="s">
        <v>699</v>
      </c>
    </row>
    <row r="910" spans="1:3" x14ac:dyDescent="0.25">
      <c r="A910" t="str">
        <f>"17867850745425293"</f>
        <v>17867850745425293</v>
      </c>
      <c r="B910" t="s">
        <v>698</v>
      </c>
      <c r="C910" t="s">
        <v>699</v>
      </c>
    </row>
    <row r="911" spans="1:3" x14ac:dyDescent="0.25">
      <c r="A911" t="str">
        <f>"17890613704118668"</f>
        <v>17890613704118668</v>
      </c>
      <c r="B911" t="s">
        <v>700</v>
      </c>
      <c r="C911" t="s">
        <v>701</v>
      </c>
    </row>
    <row r="912" spans="1:3" x14ac:dyDescent="0.25">
      <c r="A912" t="str">
        <f>"17890613704118668"</f>
        <v>17890613704118668</v>
      </c>
      <c r="B912" t="s">
        <v>700</v>
      </c>
      <c r="C912" t="s">
        <v>701</v>
      </c>
    </row>
    <row r="913" spans="1:3" x14ac:dyDescent="0.25">
      <c r="A913" t="str">
        <f>"17903856202052349"</f>
        <v>17903856202052349</v>
      </c>
      <c r="B913" t="s">
        <v>702</v>
      </c>
      <c r="C913" t="s">
        <v>703</v>
      </c>
    </row>
    <row r="914" spans="1:3" x14ac:dyDescent="0.25">
      <c r="A914" t="str">
        <f>"17903856202052349"</f>
        <v>17903856202052349</v>
      </c>
      <c r="B914" t="s">
        <v>702</v>
      </c>
      <c r="C914" t="s">
        <v>703</v>
      </c>
    </row>
    <row r="915" spans="1:3" x14ac:dyDescent="0.25">
      <c r="A915" t="str">
        <f>"17896871530071776"</f>
        <v>17896871530071776</v>
      </c>
      <c r="B915" t="s">
        <v>153</v>
      </c>
      <c r="C915" t="s">
        <v>704</v>
      </c>
    </row>
    <row r="916" spans="1:3" x14ac:dyDescent="0.25">
      <c r="A916" t="str">
        <f>"17903191270038475"</f>
        <v>17903191270038475</v>
      </c>
      <c r="B916" t="s">
        <v>436</v>
      </c>
      <c r="C916" t="s">
        <v>705</v>
      </c>
    </row>
    <row r="917" spans="1:3" x14ac:dyDescent="0.25">
      <c r="A917" t="str">
        <f>"18050866303082526"</f>
        <v>18050866303082526</v>
      </c>
      <c r="B917" t="s">
        <v>706</v>
      </c>
      <c r="C917" t="s">
        <v>707</v>
      </c>
    </row>
    <row r="918" spans="1:3" x14ac:dyDescent="0.25">
      <c r="A918" t="str">
        <f>"18050866303082526"</f>
        <v>18050866303082526</v>
      </c>
      <c r="B918" t="s">
        <v>706</v>
      </c>
      <c r="C918" t="s">
        <v>707</v>
      </c>
    </row>
    <row r="919" spans="1:3" x14ac:dyDescent="0.25">
      <c r="A919" t="str">
        <f>"18063736039101388"</f>
        <v>18063736039101388</v>
      </c>
      <c r="B919" t="s">
        <v>708</v>
      </c>
      <c r="C919" t="s">
        <v>709</v>
      </c>
    </row>
    <row r="920" spans="1:3" x14ac:dyDescent="0.25">
      <c r="A920" t="str">
        <f>"18063736039101388"</f>
        <v>18063736039101388</v>
      </c>
      <c r="B920" t="s">
        <v>708</v>
      </c>
      <c r="C920" t="s">
        <v>709</v>
      </c>
    </row>
    <row r="921" spans="1:3" x14ac:dyDescent="0.25">
      <c r="A921" t="str">
        <f>"17877641533134144"</f>
        <v>17877641533134144</v>
      </c>
      <c r="B921" t="s">
        <v>9</v>
      </c>
      <c r="C921" t="s">
        <v>710</v>
      </c>
    </row>
    <row r="922" spans="1:3" x14ac:dyDescent="0.25">
      <c r="A922" t="str">
        <f>"17902575133035069"</f>
        <v>17902575133035069</v>
      </c>
      <c r="B922" t="s">
        <v>42</v>
      </c>
      <c r="C922" t="s">
        <v>711</v>
      </c>
    </row>
    <row r="923" spans="1:3" x14ac:dyDescent="0.25">
      <c r="A923" t="str">
        <f>"17877641533134144"</f>
        <v>17877641533134144</v>
      </c>
      <c r="B923" t="s">
        <v>9</v>
      </c>
      <c r="C923" t="s">
        <v>710</v>
      </c>
    </row>
    <row r="924" spans="1:3" x14ac:dyDescent="0.25">
      <c r="A924" t="str">
        <f>"17902575133035069"</f>
        <v>17902575133035069</v>
      </c>
      <c r="B924" t="s">
        <v>42</v>
      </c>
      <c r="C924" t="s">
        <v>711</v>
      </c>
    </row>
    <row r="925" spans="1:3" x14ac:dyDescent="0.25">
      <c r="A925" t="str">
        <f>"17877641533134144"</f>
        <v>17877641533134144</v>
      </c>
      <c r="B925" t="s">
        <v>9</v>
      </c>
      <c r="C925" t="s">
        <v>710</v>
      </c>
    </row>
    <row r="926" spans="1:3" x14ac:dyDescent="0.25">
      <c r="A926" t="str">
        <f>"17902575133035069"</f>
        <v>17902575133035069</v>
      </c>
      <c r="B926" t="s">
        <v>42</v>
      </c>
      <c r="C926" t="s">
        <v>711</v>
      </c>
    </row>
    <row r="927" spans="1:3" x14ac:dyDescent="0.25">
      <c r="A927" t="str">
        <f>"17887063933368722"</f>
        <v>17887063933368722</v>
      </c>
      <c r="B927" t="s">
        <v>712</v>
      </c>
      <c r="C927" t="s">
        <v>713</v>
      </c>
    </row>
    <row r="928" spans="1:3" x14ac:dyDescent="0.25">
      <c r="A928" t="str">
        <f>"17887063933368722"</f>
        <v>17887063933368722</v>
      </c>
      <c r="B928" t="s">
        <v>712</v>
      </c>
      <c r="C928" t="s">
        <v>713</v>
      </c>
    </row>
    <row r="929" spans="1:3" x14ac:dyDescent="0.25">
      <c r="A929" t="str">
        <f>"17876741248138482"</f>
        <v>17876741248138482</v>
      </c>
      <c r="B929" t="s">
        <v>714</v>
      </c>
      <c r="C929" t="s">
        <v>715</v>
      </c>
    </row>
    <row r="930" spans="1:3" x14ac:dyDescent="0.25">
      <c r="A930" t="str">
        <f>"17876741248138482"</f>
        <v>17876741248138482</v>
      </c>
      <c r="B930" t="s">
        <v>714</v>
      </c>
      <c r="C930" t="s">
        <v>715</v>
      </c>
    </row>
    <row r="931" spans="1:3" x14ac:dyDescent="0.25">
      <c r="A931" t="str">
        <f>"17862499870820846"</f>
        <v>17862499870820846</v>
      </c>
      <c r="B931" t="s">
        <v>716</v>
      </c>
      <c r="C931" t="s">
        <v>717</v>
      </c>
    </row>
    <row r="932" spans="1:3" x14ac:dyDescent="0.25">
      <c r="A932" t="str">
        <f>"17862499870820846"</f>
        <v>17862499870820846</v>
      </c>
      <c r="B932" t="s">
        <v>716</v>
      </c>
      <c r="C932" t="s">
        <v>717</v>
      </c>
    </row>
    <row r="933" spans="1:3" x14ac:dyDescent="0.25">
      <c r="A933" t="str">
        <f>"18066712906205261"</f>
        <v>18066712906205261</v>
      </c>
      <c r="B933" t="s">
        <v>718</v>
      </c>
      <c r="C933" t="s">
        <v>719</v>
      </c>
    </row>
    <row r="934" spans="1:3" x14ac:dyDescent="0.25">
      <c r="A934" t="str">
        <f>"18066712906205261"</f>
        <v>18066712906205261</v>
      </c>
      <c r="B934" t="s">
        <v>718</v>
      </c>
      <c r="C934" t="s">
        <v>719</v>
      </c>
    </row>
    <row r="935" spans="1:3" x14ac:dyDescent="0.25">
      <c r="A935" t="str">
        <f>"18066712906205261"</f>
        <v>18066712906205261</v>
      </c>
      <c r="B935" t="s">
        <v>718</v>
      </c>
      <c r="C935" t="s">
        <v>719</v>
      </c>
    </row>
    <row r="936" spans="1:3" x14ac:dyDescent="0.25">
      <c r="A936" t="str">
        <f>"17850963072255016"</f>
        <v>17850963072255016</v>
      </c>
      <c r="B936" t="s">
        <v>720</v>
      </c>
      <c r="C936" t="s">
        <v>721</v>
      </c>
    </row>
    <row r="937" spans="1:3" x14ac:dyDescent="0.25">
      <c r="A937" t="str">
        <f>"17997202790649245"</f>
        <v>17997202790649245</v>
      </c>
      <c r="B937" t="s">
        <v>722</v>
      </c>
      <c r="C937" t="s">
        <v>723</v>
      </c>
    </row>
    <row r="938" spans="1:3" x14ac:dyDescent="0.25">
      <c r="A938" t="str">
        <f>"18027432596251594"</f>
        <v>18027432596251594</v>
      </c>
      <c r="B938" t="s">
        <v>724</v>
      </c>
      <c r="C938" t="s">
        <v>725</v>
      </c>
    </row>
    <row r="939" spans="1:3" x14ac:dyDescent="0.25">
      <c r="A939" t="str">
        <f>"17997202790649245"</f>
        <v>17997202790649245</v>
      </c>
      <c r="B939" t="s">
        <v>722</v>
      </c>
      <c r="C939" t="s">
        <v>723</v>
      </c>
    </row>
    <row r="940" spans="1:3" x14ac:dyDescent="0.25">
      <c r="A940" t="str">
        <f>"18027432596251594"</f>
        <v>18027432596251594</v>
      </c>
      <c r="B940" t="s">
        <v>724</v>
      </c>
      <c r="C940" t="s">
        <v>725</v>
      </c>
    </row>
    <row r="941" spans="1:3" x14ac:dyDescent="0.25">
      <c r="A941" t="str">
        <f>"17990611997593626"</f>
        <v>17990611997593626</v>
      </c>
      <c r="B941" t="s">
        <v>285</v>
      </c>
      <c r="C941" t="s">
        <v>726</v>
      </c>
    </row>
    <row r="942" spans="1:3" x14ac:dyDescent="0.25">
      <c r="A942" t="str">
        <f>"18089673247403651"</f>
        <v>18089673247403651</v>
      </c>
      <c r="B942" t="s">
        <v>727</v>
      </c>
      <c r="C942" t="s">
        <v>728</v>
      </c>
    </row>
    <row r="943" spans="1:3" x14ac:dyDescent="0.25">
      <c r="A943" t="str">
        <f>"18106785598363286"</f>
        <v>18106785598363286</v>
      </c>
      <c r="B943" t="s">
        <v>729</v>
      </c>
      <c r="C943" t="s">
        <v>730</v>
      </c>
    </row>
    <row r="944" spans="1:3" x14ac:dyDescent="0.25">
      <c r="A944" t="str">
        <f>"17979108608507891"</f>
        <v>17979108608507891</v>
      </c>
      <c r="B944" t="s">
        <v>731</v>
      </c>
      <c r="C944" t="s">
        <v>732</v>
      </c>
    </row>
    <row r="945" spans="1:3" x14ac:dyDescent="0.25">
      <c r="A945" t="str">
        <f>"18397079569068402"</f>
        <v>18397079569068402</v>
      </c>
      <c r="B945" t="s">
        <v>733</v>
      </c>
      <c r="C945" t="s">
        <v>734</v>
      </c>
    </row>
    <row r="946" spans="1:3" x14ac:dyDescent="0.25">
      <c r="A946" t="str">
        <f>"18082768687419744"</f>
        <v>18082768687419744</v>
      </c>
      <c r="B946" t="s">
        <v>735</v>
      </c>
      <c r="C946" t="s">
        <v>736</v>
      </c>
    </row>
    <row r="947" spans="1:3" x14ac:dyDescent="0.25">
      <c r="A947" t="str">
        <f>"17897986592914860"</f>
        <v>17897986592914860</v>
      </c>
      <c r="B947" t="s">
        <v>648</v>
      </c>
      <c r="C947" t="s">
        <v>737</v>
      </c>
    </row>
    <row r="948" spans="1:3" x14ac:dyDescent="0.25">
      <c r="A948" t="str">
        <f>"17976865601701699"</f>
        <v>17976865601701699</v>
      </c>
      <c r="B948" t="s">
        <v>738</v>
      </c>
      <c r="C948" t="s">
        <v>739</v>
      </c>
    </row>
    <row r="949" spans="1:3" x14ac:dyDescent="0.25">
      <c r="A949" t="str">
        <f>"18019257017230939"</f>
        <v>18019257017230939</v>
      </c>
      <c r="B949" t="s">
        <v>740</v>
      </c>
      <c r="C949" t="s">
        <v>741</v>
      </c>
    </row>
    <row r="950" spans="1:3" x14ac:dyDescent="0.25">
      <c r="A950" t="str">
        <f>"18297809026081116"</f>
        <v>18297809026081116</v>
      </c>
      <c r="B950" t="s">
        <v>742</v>
      </c>
      <c r="C950" t="s">
        <v>743</v>
      </c>
    </row>
    <row r="951" spans="1:3" x14ac:dyDescent="0.25">
      <c r="A951" t="str">
        <f>"18019257017230939"</f>
        <v>18019257017230939</v>
      </c>
      <c r="B951" t="s">
        <v>740</v>
      </c>
      <c r="C951" t="s">
        <v>741</v>
      </c>
    </row>
    <row r="952" spans="1:3" x14ac:dyDescent="0.25">
      <c r="A952" t="str">
        <f>"18297809026081116"</f>
        <v>18297809026081116</v>
      </c>
      <c r="B952" t="s">
        <v>742</v>
      </c>
      <c r="C952" t="s">
        <v>743</v>
      </c>
    </row>
    <row r="953" spans="1:3" x14ac:dyDescent="0.25">
      <c r="A953" t="str">
        <f>"18019257017230939"</f>
        <v>18019257017230939</v>
      </c>
      <c r="B953" t="s">
        <v>740</v>
      </c>
      <c r="C953" t="s">
        <v>741</v>
      </c>
    </row>
    <row r="954" spans="1:3" x14ac:dyDescent="0.25">
      <c r="A954" t="str">
        <f>"18297809026081116"</f>
        <v>18297809026081116</v>
      </c>
      <c r="B954" t="s">
        <v>742</v>
      </c>
      <c r="C954" t="s">
        <v>743</v>
      </c>
    </row>
    <row r="955" spans="1:3" x14ac:dyDescent="0.25">
      <c r="A955" t="str">
        <f>"18341562412108742"</f>
        <v>18341562412108742</v>
      </c>
      <c r="B955" t="s">
        <v>744</v>
      </c>
      <c r="C955" t="s">
        <v>745</v>
      </c>
    </row>
    <row r="956" spans="1:3" x14ac:dyDescent="0.25">
      <c r="A956" t="str">
        <f>"17979481592674694"</f>
        <v>17979481592674694</v>
      </c>
      <c r="B956" t="s">
        <v>746</v>
      </c>
      <c r="C956" t="s">
        <v>747</v>
      </c>
    </row>
    <row r="957" spans="1:3" x14ac:dyDescent="0.25">
      <c r="A957" t="str">
        <f>"18022704626506030"</f>
        <v>18022704626506030</v>
      </c>
      <c r="B957" t="s">
        <v>748</v>
      </c>
      <c r="C957" t="s">
        <v>749</v>
      </c>
    </row>
    <row r="958" spans="1:3" x14ac:dyDescent="0.25">
      <c r="A958" t="str">
        <f>"18341562412108742"</f>
        <v>18341562412108742</v>
      </c>
      <c r="B958" t="s">
        <v>744</v>
      </c>
      <c r="C958" t="s">
        <v>745</v>
      </c>
    </row>
    <row r="959" spans="1:3" x14ac:dyDescent="0.25">
      <c r="A959" t="str">
        <f>"17979481592674694"</f>
        <v>17979481592674694</v>
      </c>
      <c r="B959" t="s">
        <v>746</v>
      </c>
      <c r="C959" t="s">
        <v>747</v>
      </c>
    </row>
    <row r="960" spans="1:3" x14ac:dyDescent="0.25">
      <c r="A960" t="str">
        <f>"18022704626506030"</f>
        <v>18022704626506030</v>
      </c>
      <c r="B960" t="s">
        <v>748</v>
      </c>
      <c r="C960" t="s">
        <v>749</v>
      </c>
    </row>
    <row r="961" spans="1:3" x14ac:dyDescent="0.25">
      <c r="A961" t="str">
        <f>"18101606287393078"</f>
        <v>18101606287393078</v>
      </c>
      <c r="B961" t="s">
        <v>724</v>
      </c>
      <c r="C961" t="s">
        <v>750</v>
      </c>
    </row>
    <row r="962" spans="1:3" x14ac:dyDescent="0.25">
      <c r="A962" t="str">
        <f>"18023532967958211"</f>
        <v>18023532967958211</v>
      </c>
      <c r="B962" t="s">
        <v>751</v>
      </c>
      <c r="C962" t="s">
        <v>752</v>
      </c>
    </row>
    <row r="963" spans="1:3" x14ac:dyDescent="0.25">
      <c r="A963" t="str">
        <f>"18057180163601939"</f>
        <v>18057180163601939</v>
      </c>
      <c r="B963" t="s">
        <v>753</v>
      </c>
      <c r="C963" t="s">
        <v>754</v>
      </c>
    </row>
    <row r="964" spans="1:3" x14ac:dyDescent="0.25">
      <c r="A964" t="str">
        <f>"18023532967958211"</f>
        <v>18023532967958211</v>
      </c>
      <c r="B964" t="s">
        <v>751</v>
      </c>
      <c r="C964" t="s">
        <v>752</v>
      </c>
    </row>
    <row r="965" spans="1:3" x14ac:dyDescent="0.25">
      <c r="A965" t="str">
        <f>"18057180163601939"</f>
        <v>18057180163601939</v>
      </c>
      <c r="B965" t="s">
        <v>753</v>
      </c>
      <c r="C965" t="s">
        <v>754</v>
      </c>
    </row>
    <row r="966" spans="1:3" x14ac:dyDescent="0.25">
      <c r="A966" t="str">
        <f>"18023532967958211"</f>
        <v>18023532967958211</v>
      </c>
      <c r="B966" t="s">
        <v>751</v>
      </c>
      <c r="C966" t="s">
        <v>752</v>
      </c>
    </row>
    <row r="967" spans="1:3" x14ac:dyDescent="0.25">
      <c r="A967" t="str">
        <f>"18057180163601939"</f>
        <v>18057180163601939</v>
      </c>
      <c r="B967" t="s">
        <v>753</v>
      </c>
      <c r="C967" t="s">
        <v>754</v>
      </c>
    </row>
    <row r="968" spans="1:3" x14ac:dyDescent="0.25">
      <c r="A968" t="str">
        <f>"17906272817882830"</f>
        <v>17906272817882830</v>
      </c>
      <c r="B968" t="s">
        <v>720</v>
      </c>
      <c r="C968" t="s">
        <v>755</v>
      </c>
    </row>
    <row r="969" spans="1:3" x14ac:dyDescent="0.25">
      <c r="A969" t="str">
        <f>"17842979406248534"</f>
        <v>17842979406248534</v>
      </c>
      <c r="B969" t="s">
        <v>756</v>
      </c>
      <c r="C969" t="s">
        <v>757</v>
      </c>
    </row>
    <row r="970" spans="1:3" x14ac:dyDescent="0.25">
      <c r="A970" t="str">
        <f>"18031166291016369"</f>
        <v>18031166291016369</v>
      </c>
      <c r="B970" t="s">
        <v>758</v>
      </c>
      <c r="C970" t="s">
        <v>759</v>
      </c>
    </row>
    <row r="971" spans="1:3" x14ac:dyDescent="0.25">
      <c r="A971" t="str">
        <f>"17842979406248534"</f>
        <v>17842979406248534</v>
      </c>
      <c r="B971" t="s">
        <v>756</v>
      </c>
      <c r="C971" t="s">
        <v>757</v>
      </c>
    </row>
    <row r="972" spans="1:3" x14ac:dyDescent="0.25">
      <c r="A972" t="str">
        <f>"18031166291016369"</f>
        <v>18031166291016369</v>
      </c>
      <c r="B972" t="s">
        <v>758</v>
      </c>
      <c r="C972" t="s">
        <v>759</v>
      </c>
    </row>
    <row r="973" spans="1:3" x14ac:dyDescent="0.25">
      <c r="A973" t="str">
        <f>"18449194018000611"</f>
        <v>18449194018000611</v>
      </c>
      <c r="B973" t="s">
        <v>760</v>
      </c>
      <c r="C973" t="s">
        <v>761</v>
      </c>
    </row>
    <row r="974" spans="1:3" x14ac:dyDescent="0.25">
      <c r="A974" t="str">
        <f>"17855192348006057"</f>
        <v>17855192348006057</v>
      </c>
      <c r="B974" t="s">
        <v>762</v>
      </c>
      <c r="C974" t="s">
        <v>763</v>
      </c>
    </row>
    <row r="975" spans="1:3" x14ac:dyDescent="0.25">
      <c r="A975" t="str">
        <f>"18107265256186367"</f>
        <v>18107265256186367</v>
      </c>
      <c r="B975" t="s">
        <v>764</v>
      </c>
      <c r="C975" t="s">
        <v>765</v>
      </c>
    </row>
    <row r="976" spans="1:3" x14ac:dyDescent="0.25">
      <c r="A976" t="str">
        <f>"17855192348006057"</f>
        <v>17855192348006057</v>
      </c>
      <c r="B976" t="s">
        <v>762</v>
      </c>
      <c r="C976" t="s">
        <v>763</v>
      </c>
    </row>
    <row r="977" spans="1:3" x14ac:dyDescent="0.25">
      <c r="A977" t="str">
        <f>"18107265256186367"</f>
        <v>18107265256186367</v>
      </c>
      <c r="B977" t="s">
        <v>764</v>
      </c>
      <c r="C977" t="s">
        <v>765</v>
      </c>
    </row>
    <row r="978" spans="1:3" x14ac:dyDescent="0.25">
      <c r="A978" t="str">
        <f>"17903788736367096"</f>
        <v>17903788736367096</v>
      </c>
      <c r="B978" t="s">
        <v>766</v>
      </c>
      <c r="C978" t="s">
        <v>767</v>
      </c>
    </row>
    <row r="979" spans="1:3" x14ac:dyDescent="0.25">
      <c r="A979" t="str">
        <f>"17903788736367096"</f>
        <v>17903788736367096</v>
      </c>
      <c r="B979" t="s">
        <v>766</v>
      </c>
      <c r="C979" t="s">
        <v>767</v>
      </c>
    </row>
    <row r="980" spans="1:3" x14ac:dyDescent="0.25">
      <c r="A980" t="str">
        <f>"17920672477404061"</f>
        <v>17920672477404061</v>
      </c>
      <c r="B980" t="s">
        <v>768</v>
      </c>
      <c r="C980" t="s">
        <v>769</v>
      </c>
    </row>
    <row r="981" spans="1:3" x14ac:dyDescent="0.25">
      <c r="A981" t="str">
        <f>"18135269638069577"</f>
        <v>18135269638069577</v>
      </c>
      <c r="B981" t="s">
        <v>770</v>
      </c>
      <c r="C981" t="s">
        <v>771</v>
      </c>
    </row>
    <row r="982" spans="1:3" x14ac:dyDescent="0.25">
      <c r="A982" t="str">
        <f>"17920672477404061"</f>
        <v>17920672477404061</v>
      </c>
      <c r="B982" t="s">
        <v>768</v>
      </c>
      <c r="C982" t="s">
        <v>769</v>
      </c>
    </row>
    <row r="983" spans="1:3" x14ac:dyDescent="0.25">
      <c r="A983" t="str">
        <f>"18135269638069577"</f>
        <v>18135269638069577</v>
      </c>
      <c r="B983" t="s">
        <v>770</v>
      </c>
      <c r="C983" t="s">
        <v>771</v>
      </c>
    </row>
    <row r="984" spans="1:3" x14ac:dyDescent="0.25">
      <c r="A984" t="str">
        <f>"17880694114606803"</f>
        <v>17880694114606803</v>
      </c>
      <c r="B984" t="s">
        <v>772</v>
      </c>
      <c r="C984" t="s">
        <v>773</v>
      </c>
    </row>
    <row r="985" spans="1:3" x14ac:dyDescent="0.25">
      <c r="A985" t="str">
        <f>"17880694114606803"</f>
        <v>17880694114606803</v>
      </c>
      <c r="B985" t="s">
        <v>772</v>
      </c>
      <c r="C985" t="s">
        <v>773</v>
      </c>
    </row>
    <row r="986" spans="1:3" x14ac:dyDescent="0.25">
      <c r="A986" t="str">
        <f>"18109886794083607"</f>
        <v>18109886794083607</v>
      </c>
      <c r="B986" t="s">
        <v>774</v>
      </c>
      <c r="C986" t="s">
        <v>775</v>
      </c>
    </row>
    <row r="987" spans="1:3" x14ac:dyDescent="0.25">
      <c r="A987" t="str">
        <f>"18109886794083607"</f>
        <v>18109886794083607</v>
      </c>
      <c r="B987" t="s">
        <v>774</v>
      </c>
      <c r="C987" t="s">
        <v>775</v>
      </c>
    </row>
    <row r="988" spans="1:3" x14ac:dyDescent="0.25">
      <c r="A988" t="str">
        <f>"17842160948280226"</f>
        <v>17842160948280226</v>
      </c>
      <c r="B988" t="s">
        <v>776</v>
      </c>
      <c r="C988" t="s">
        <v>777</v>
      </c>
    </row>
    <row r="989" spans="1:3" x14ac:dyDescent="0.25">
      <c r="A989" t="str">
        <f>"17842160948280226"</f>
        <v>17842160948280226</v>
      </c>
      <c r="B989" t="s">
        <v>776</v>
      </c>
      <c r="C989" t="s">
        <v>777</v>
      </c>
    </row>
    <row r="990" spans="1:3" x14ac:dyDescent="0.25">
      <c r="A990" t="str">
        <f>"17881557136636304"</f>
        <v>17881557136636304</v>
      </c>
      <c r="B990" t="s">
        <v>778</v>
      </c>
      <c r="C990" t="s">
        <v>779</v>
      </c>
    </row>
    <row r="991" spans="1:3" x14ac:dyDescent="0.25">
      <c r="A991" t="str">
        <f>"17881557136636304"</f>
        <v>17881557136636304</v>
      </c>
      <c r="B991" t="s">
        <v>778</v>
      </c>
      <c r="C991" t="s">
        <v>779</v>
      </c>
    </row>
    <row r="992" spans="1:3" x14ac:dyDescent="0.25">
      <c r="A992" t="str">
        <f>"17936724209019717"</f>
        <v>17936724209019717</v>
      </c>
      <c r="B992" t="s">
        <v>780</v>
      </c>
      <c r="C992" t="s">
        <v>781</v>
      </c>
    </row>
    <row r="993" spans="1:3" x14ac:dyDescent="0.25">
      <c r="A993" t="str">
        <f>"17936724209019717"</f>
        <v>17936724209019717</v>
      </c>
      <c r="B993" t="s">
        <v>780</v>
      </c>
      <c r="C993" t="s">
        <v>781</v>
      </c>
    </row>
    <row r="994" spans="1:3" x14ac:dyDescent="0.25">
      <c r="A994" t="str">
        <f>"17856635789013951"</f>
        <v>17856635789013951</v>
      </c>
      <c r="B994" t="s">
        <v>648</v>
      </c>
      <c r="C994" t="s">
        <v>782</v>
      </c>
    </row>
    <row r="995" spans="1:3" x14ac:dyDescent="0.25">
      <c r="A995" t="str">
        <f>"17856635789013951"</f>
        <v>17856635789013951</v>
      </c>
      <c r="B995" t="s">
        <v>648</v>
      </c>
      <c r="C995" t="s">
        <v>782</v>
      </c>
    </row>
    <row r="996" spans="1:3" x14ac:dyDescent="0.25">
      <c r="A996" t="str">
        <f>"18231877750102473"</f>
        <v>18231877750102473</v>
      </c>
      <c r="B996" t="s">
        <v>783</v>
      </c>
      <c r="C996" t="s">
        <v>784</v>
      </c>
    </row>
    <row r="997" spans="1:3" x14ac:dyDescent="0.25">
      <c r="A997" t="str">
        <f>"18072684316205029"</f>
        <v>18072684316205029</v>
      </c>
      <c r="B997" t="s">
        <v>785</v>
      </c>
      <c r="C997" t="s">
        <v>786</v>
      </c>
    </row>
    <row r="998" spans="1:3" x14ac:dyDescent="0.25">
      <c r="A998" t="str">
        <f>"18072684316205029"</f>
        <v>18072684316205029</v>
      </c>
      <c r="B998" t="s">
        <v>785</v>
      </c>
      <c r="C998" t="s">
        <v>786</v>
      </c>
    </row>
    <row r="999" spans="1:3" x14ac:dyDescent="0.25">
      <c r="A999" t="str">
        <f>"18109944826185453"</f>
        <v>18109944826185453</v>
      </c>
      <c r="B999" t="s">
        <v>787</v>
      </c>
      <c r="C999" t="s">
        <v>788</v>
      </c>
    </row>
    <row r="1000" spans="1:3" x14ac:dyDescent="0.25">
      <c r="A1000" t="str">
        <f>"18109944826185453"</f>
        <v>18109944826185453</v>
      </c>
      <c r="B1000" t="s">
        <v>787</v>
      </c>
      <c r="C1000" t="s">
        <v>788</v>
      </c>
    </row>
    <row r="1001" spans="1:3" x14ac:dyDescent="0.25">
      <c r="A1001" t="str">
        <f>"17864903317895165"</f>
        <v>17864903317895165</v>
      </c>
      <c r="B1001" t="s">
        <v>789</v>
      </c>
      <c r="C1001" t="s">
        <v>790</v>
      </c>
    </row>
    <row r="1002" spans="1:3" x14ac:dyDescent="0.25">
      <c r="A1002" t="str">
        <f>"17864903317895165"</f>
        <v>17864903317895165</v>
      </c>
      <c r="B1002" t="s">
        <v>789</v>
      </c>
      <c r="C1002" t="s">
        <v>790</v>
      </c>
    </row>
    <row r="1003" spans="1:3" x14ac:dyDescent="0.25">
      <c r="A1003" t="str">
        <f>"17895179803542195"</f>
        <v>17895179803542195</v>
      </c>
      <c r="B1003" t="s">
        <v>791</v>
      </c>
      <c r="C1003" t="s">
        <v>792</v>
      </c>
    </row>
    <row r="1004" spans="1:3" x14ac:dyDescent="0.25">
      <c r="A1004" t="str">
        <f>"17895179803542195"</f>
        <v>17895179803542195</v>
      </c>
      <c r="B1004" t="s">
        <v>791</v>
      </c>
      <c r="C1004" t="s">
        <v>792</v>
      </c>
    </row>
    <row r="1005" spans="1:3" x14ac:dyDescent="0.25">
      <c r="A1005" t="str">
        <f>"18143772766068244"</f>
        <v>18143772766068244</v>
      </c>
      <c r="B1005" t="s">
        <v>3</v>
      </c>
      <c r="C1005" t="s">
        <v>793</v>
      </c>
    </row>
    <row r="1006" spans="1:3" x14ac:dyDescent="0.25">
      <c r="A1006" t="str">
        <f>"18143772766068244"</f>
        <v>18143772766068244</v>
      </c>
      <c r="B1006" t="s">
        <v>3</v>
      </c>
      <c r="C1006" t="s">
        <v>793</v>
      </c>
    </row>
    <row r="1007" spans="1:3" x14ac:dyDescent="0.25">
      <c r="A1007" t="str">
        <f>"18143772766068244"</f>
        <v>18143772766068244</v>
      </c>
      <c r="B1007" t="s">
        <v>3</v>
      </c>
      <c r="C1007" t="s">
        <v>793</v>
      </c>
    </row>
    <row r="1008" spans="1:3" x14ac:dyDescent="0.25">
      <c r="A1008" t="str">
        <f>"17905560593448863"</f>
        <v>17905560593448863</v>
      </c>
      <c r="B1008" t="s">
        <v>285</v>
      </c>
      <c r="C1008" t="s">
        <v>794</v>
      </c>
    </row>
    <row r="1009" spans="1:3" x14ac:dyDescent="0.25">
      <c r="A1009" t="str">
        <f>"17878909363709560"</f>
        <v>17878909363709560</v>
      </c>
      <c r="B1009" t="s">
        <v>795</v>
      </c>
      <c r="C1009" t="s">
        <v>796</v>
      </c>
    </row>
    <row r="1010" spans="1:3" x14ac:dyDescent="0.25">
      <c r="A1010" t="str">
        <f>"17878909363709560"</f>
        <v>17878909363709560</v>
      </c>
      <c r="B1010" t="s">
        <v>795</v>
      </c>
      <c r="C1010" t="s">
        <v>796</v>
      </c>
    </row>
    <row r="1011" spans="1:3" x14ac:dyDescent="0.25">
      <c r="A1011" t="str">
        <f>"17859460004018887"</f>
        <v>17859460004018887</v>
      </c>
      <c r="B1011" t="s">
        <v>797</v>
      </c>
      <c r="C1011" t="s">
        <v>798</v>
      </c>
    </row>
    <row r="1012" spans="1:3" x14ac:dyDescent="0.25">
      <c r="A1012" t="str">
        <f>"17859460004018887"</f>
        <v>17859460004018887</v>
      </c>
      <c r="B1012" t="s">
        <v>797</v>
      </c>
      <c r="C1012" t="s">
        <v>798</v>
      </c>
    </row>
    <row r="1013" spans="1:3" x14ac:dyDescent="0.25">
      <c r="A1013" t="str">
        <f>"18029445718273365"</f>
        <v>18029445718273365</v>
      </c>
      <c r="B1013" t="s">
        <v>799</v>
      </c>
      <c r="C1013" t="s">
        <v>800</v>
      </c>
    </row>
    <row r="1014" spans="1:3" x14ac:dyDescent="0.25">
      <c r="A1014" t="str">
        <f>"18029445718273365"</f>
        <v>18029445718273365</v>
      </c>
      <c r="B1014" t="s">
        <v>799</v>
      </c>
      <c r="C1014" t="s">
        <v>800</v>
      </c>
    </row>
    <row r="1015" spans="1:3" x14ac:dyDescent="0.25">
      <c r="A1015" t="str">
        <f>"17854041449133206"</f>
        <v>17854041449133206</v>
      </c>
      <c r="B1015" t="s">
        <v>772</v>
      </c>
      <c r="C1015" t="s">
        <v>801</v>
      </c>
    </row>
    <row r="1016" spans="1:3" x14ac:dyDescent="0.25">
      <c r="A1016" t="str">
        <f>"17854041449133206"</f>
        <v>17854041449133206</v>
      </c>
      <c r="B1016" t="s">
        <v>772</v>
      </c>
      <c r="C1016" t="s">
        <v>801</v>
      </c>
    </row>
    <row r="1017" spans="1:3" x14ac:dyDescent="0.25">
      <c r="A1017" t="str">
        <f>"17861798246052980"</f>
        <v>17861798246052980</v>
      </c>
      <c r="B1017" t="s">
        <v>802</v>
      </c>
      <c r="C1017" t="s">
        <v>803</v>
      </c>
    </row>
    <row r="1018" spans="1:3" x14ac:dyDescent="0.25">
      <c r="A1018" t="str">
        <f>"17868446857903871"</f>
        <v>17868446857903871</v>
      </c>
      <c r="B1018" t="s">
        <v>804</v>
      </c>
      <c r="C1018" t="s">
        <v>805</v>
      </c>
    </row>
    <row r="1019" spans="1:3" x14ac:dyDescent="0.25">
      <c r="A1019" t="str">
        <f>"17900994145512818"</f>
        <v>17900994145512818</v>
      </c>
      <c r="B1019" t="s">
        <v>806</v>
      </c>
      <c r="C1019" t="s">
        <v>807</v>
      </c>
    </row>
    <row r="1020" spans="1:3" x14ac:dyDescent="0.25">
      <c r="A1020" t="str">
        <f>"17866706068960047"</f>
        <v>17866706068960047</v>
      </c>
      <c r="B1020" t="s">
        <v>648</v>
      </c>
      <c r="C1020" t="s">
        <v>808</v>
      </c>
    </row>
    <row r="1021" spans="1:3" x14ac:dyDescent="0.25">
      <c r="A1021" t="str">
        <f>"18044603806259632"</f>
        <v>18044603806259632</v>
      </c>
      <c r="B1021" t="s">
        <v>809</v>
      </c>
      <c r="C1021" t="s">
        <v>810</v>
      </c>
    </row>
    <row r="1022" spans="1:3" x14ac:dyDescent="0.25">
      <c r="A1022" t="str">
        <f>"17892986341588533"</f>
        <v>17892986341588533</v>
      </c>
      <c r="B1022" t="s">
        <v>811</v>
      </c>
      <c r="C1022" t="s">
        <v>812</v>
      </c>
    </row>
    <row r="1023" spans="1:3" x14ac:dyDescent="0.25">
      <c r="A1023" t="str">
        <f>"17861798246052980"</f>
        <v>17861798246052980</v>
      </c>
      <c r="B1023" t="s">
        <v>802</v>
      </c>
      <c r="C1023" t="s">
        <v>803</v>
      </c>
    </row>
    <row r="1024" spans="1:3" x14ac:dyDescent="0.25">
      <c r="A1024" t="str">
        <f>"17868446857903871"</f>
        <v>17868446857903871</v>
      </c>
      <c r="B1024" t="s">
        <v>804</v>
      </c>
      <c r="C1024" t="s">
        <v>805</v>
      </c>
    </row>
    <row r="1025" spans="1:3" x14ac:dyDescent="0.25">
      <c r="A1025" t="str">
        <f>"17900994145512818"</f>
        <v>17900994145512818</v>
      </c>
      <c r="B1025" t="s">
        <v>806</v>
      </c>
      <c r="C1025" t="s">
        <v>807</v>
      </c>
    </row>
    <row r="1026" spans="1:3" x14ac:dyDescent="0.25">
      <c r="A1026" t="str">
        <f>"17866706068960047"</f>
        <v>17866706068960047</v>
      </c>
      <c r="B1026" t="s">
        <v>648</v>
      </c>
      <c r="C1026" t="s">
        <v>808</v>
      </c>
    </row>
    <row r="1027" spans="1:3" x14ac:dyDescent="0.25">
      <c r="A1027" t="str">
        <f>"18044603806259632"</f>
        <v>18044603806259632</v>
      </c>
      <c r="B1027" t="s">
        <v>809</v>
      </c>
      <c r="C1027" t="s">
        <v>810</v>
      </c>
    </row>
    <row r="1028" spans="1:3" x14ac:dyDescent="0.25">
      <c r="A1028" t="str">
        <f>"17892986341588533"</f>
        <v>17892986341588533</v>
      </c>
      <c r="B1028" t="s">
        <v>811</v>
      </c>
      <c r="C1028" t="s">
        <v>812</v>
      </c>
    </row>
    <row r="1029" spans="1:3" x14ac:dyDescent="0.25">
      <c r="A1029" t="str">
        <f>"17850172346199349"</f>
        <v>17850172346199349</v>
      </c>
      <c r="B1029" t="s">
        <v>813</v>
      </c>
      <c r="C1029" t="s">
        <v>814</v>
      </c>
    </row>
    <row r="1030" spans="1:3" x14ac:dyDescent="0.25">
      <c r="A1030" t="str">
        <f>"17850172346199349"</f>
        <v>17850172346199349</v>
      </c>
      <c r="B1030" t="s">
        <v>813</v>
      </c>
      <c r="C1030" t="s">
        <v>814</v>
      </c>
    </row>
    <row r="1031" spans="1:3" x14ac:dyDescent="0.25">
      <c r="A1031" t="str">
        <f>"17860519319070883"</f>
        <v>17860519319070883</v>
      </c>
      <c r="B1031" t="s">
        <v>815</v>
      </c>
      <c r="C1031" t="s">
        <v>816</v>
      </c>
    </row>
    <row r="1032" spans="1:3" x14ac:dyDescent="0.25">
      <c r="A1032" t="str">
        <f>"17863213835012315"</f>
        <v>17863213835012315</v>
      </c>
      <c r="B1032" t="s">
        <v>817</v>
      </c>
      <c r="C1032" t="s">
        <v>818</v>
      </c>
    </row>
    <row r="1033" spans="1:3" x14ac:dyDescent="0.25">
      <c r="A1033" t="str">
        <f>"17860519319070883"</f>
        <v>17860519319070883</v>
      </c>
      <c r="B1033" t="s">
        <v>815</v>
      </c>
      <c r="C1033" t="s">
        <v>816</v>
      </c>
    </row>
    <row r="1034" spans="1:3" x14ac:dyDescent="0.25">
      <c r="A1034" t="str">
        <f>"17863213835012315"</f>
        <v>17863213835012315</v>
      </c>
      <c r="B1034" t="s">
        <v>817</v>
      </c>
      <c r="C1034" t="s">
        <v>818</v>
      </c>
    </row>
    <row r="1035" spans="1:3" x14ac:dyDescent="0.25">
      <c r="A1035" t="str">
        <f>"17924091575221491"</f>
        <v>17924091575221491</v>
      </c>
      <c r="B1035" t="s">
        <v>819</v>
      </c>
      <c r="C1035" t="s">
        <v>820</v>
      </c>
    </row>
    <row r="1036" spans="1:3" x14ac:dyDescent="0.25">
      <c r="A1036" t="str">
        <f>"18277752148069959"</f>
        <v>18277752148069959</v>
      </c>
      <c r="B1036" t="s">
        <v>821</v>
      </c>
      <c r="C1036" t="s">
        <v>822</v>
      </c>
    </row>
    <row r="1037" spans="1:3" x14ac:dyDescent="0.25">
      <c r="A1037" t="str">
        <f>"17924091575221491"</f>
        <v>17924091575221491</v>
      </c>
      <c r="B1037" t="s">
        <v>819</v>
      </c>
      <c r="C1037" t="s">
        <v>820</v>
      </c>
    </row>
    <row r="1038" spans="1:3" x14ac:dyDescent="0.25">
      <c r="A1038" t="str">
        <f>"18277752148069959"</f>
        <v>18277752148069959</v>
      </c>
      <c r="B1038" t="s">
        <v>821</v>
      </c>
      <c r="C1038" t="s">
        <v>822</v>
      </c>
    </row>
    <row r="1039" spans="1:3" x14ac:dyDescent="0.25">
      <c r="A1039" t="str">
        <f>"17938237528380229"</f>
        <v>17938237528380229</v>
      </c>
      <c r="B1039" t="s">
        <v>823</v>
      </c>
      <c r="C1039" t="s">
        <v>824</v>
      </c>
    </row>
    <row r="1040" spans="1:3" x14ac:dyDescent="0.25">
      <c r="A1040" t="str">
        <f>"17938237528380229"</f>
        <v>17938237528380229</v>
      </c>
      <c r="B1040" t="s">
        <v>823</v>
      </c>
      <c r="C1040" t="s">
        <v>824</v>
      </c>
    </row>
    <row r="1041" spans="1:3" x14ac:dyDescent="0.25">
      <c r="A1041" t="str">
        <f>"17850684392215287"</f>
        <v>17850684392215287</v>
      </c>
      <c r="B1041" t="s">
        <v>768</v>
      </c>
      <c r="C1041" t="s">
        <v>825</v>
      </c>
    </row>
    <row r="1042" spans="1:3" x14ac:dyDescent="0.25">
      <c r="A1042" t="str">
        <f>"17850684392215287"</f>
        <v>17850684392215287</v>
      </c>
      <c r="B1042" t="s">
        <v>768</v>
      </c>
      <c r="C1042" t="s">
        <v>825</v>
      </c>
    </row>
    <row r="1043" spans="1:3" x14ac:dyDescent="0.25">
      <c r="A1043" t="str">
        <f>"17850341789256447"</f>
        <v>17850341789256447</v>
      </c>
      <c r="B1043" t="s">
        <v>826</v>
      </c>
      <c r="C1043" t="s">
        <v>827</v>
      </c>
    </row>
    <row r="1044" spans="1:3" x14ac:dyDescent="0.25">
      <c r="A1044" t="str">
        <f>"17850341789256447"</f>
        <v>17850341789256447</v>
      </c>
      <c r="B1044" t="s">
        <v>826</v>
      </c>
      <c r="C1044" t="s">
        <v>827</v>
      </c>
    </row>
    <row r="1045" spans="1:3" x14ac:dyDescent="0.25">
      <c r="A1045" t="str">
        <f>"17994941617555379"</f>
        <v>17994941617555379</v>
      </c>
      <c r="B1045" t="s">
        <v>285</v>
      </c>
      <c r="C1045" t="s">
        <v>828</v>
      </c>
    </row>
    <row r="1046" spans="1:3" x14ac:dyDescent="0.25">
      <c r="A1046" t="str">
        <f>"17994941617555379"</f>
        <v>17994941617555379</v>
      </c>
      <c r="B1046" t="s">
        <v>285</v>
      </c>
      <c r="C1046" t="s">
        <v>828</v>
      </c>
    </row>
    <row r="1047" spans="1:3" x14ac:dyDescent="0.25">
      <c r="A1047" t="str">
        <f>"17952312235791858"</f>
        <v>17952312235791858</v>
      </c>
      <c r="B1047" t="s">
        <v>829</v>
      </c>
      <c r="C1047" t="s">
        <v>830</v>
      </c>
    </row>
    <row r="1048" spans="1:3" x14ac:dyDescent="0.25">
      <c r="A1048" t="str">
        <f>"17952312235791858"</f>
        <v>17952312235791858</v>
      </c>
      <c r="B1048" t="s">
        <v>829</v>
      </c>
      <c r="C1048" t="s">
        <v>830</v>
      </c>
    </row>
    <row r="1049" spans="1:3" x14ac:dyDescent="0.25">
      <c r="A1049" t="str">
        <f>"17930643194491483"</f>
        <v>17930643194491483</v>
      </c>
      <c r="B1049" t="s">
        <v>831</v>
      </c>
      <c r="C1049" t="s">
        <v>832</v>
      </c>
    </row>
    <row r="1050" spans="1:3" x14ac:dyDescent="0.25">
      <c r="A1050" t="str">
        <f>"18132728476129888"</f>
        <v>18132728476129888</v>
      </c>
      <c r="B1050" t="s">
        <v>833</v>
      </c>
      <c r="C1050" t="s">
        <v>834</v>
      </c>
    </row>
    <row r="1051" spans="1:3" x14ac:dyDescent="0.25">
      <c r="A1051" t="str">
        <f>"17877999268800448"</f>
        <v>17877999268800448</v>
      </c>
      <c r="B1051" t="s">
        <v>835</v>
      </c>
      <c r="C1051" t="s">
        <v>836</v>
      </c>
    </row>
    <row r="1052" spans="1:3" x14ac:dyDescent="0.25">
      <c r="A1052" t="str">
        <f>"18132728476129888"</f>
        <v>18132728476129888</v>
      </c>
      <c r="B1052" t="s">
        <v>833</v>
      </c>
      <c r="C1052" t="s">
        <v>834</v>
      </c>
    </row>
    <row r="1053" spans="1:3" x14ac:dyDescent="0.25">
      <c r="A1053" t="str">
        <f>"17877999268800448"</f>
        <v>17877999268800448</v>
      </c>
      <c r="B1053" t="s">
        <v>835</v>
      </c>
      <c r="C1053" t="s">
        <v>836</v>
      </c>
    </row>
    <row r="1054" spans="1:3" x14ac:dyDescent="0.25">
      <c r="A1054" t="str">
        <f>"17940358597983978"</f>
        <v>17940358597983978</v>
      </c>
      <c r="B1054" t="s">
        <v>837</v>
      </c>
      <c r="C1054" t="s">
        <v>838</v>
      </c>
    </row>
    <row r="1055" spans="1:3" x14ac:dyDescent="0.25">
      <c r="A1055" t="str">
        <f>"17940358597983978"</f>
        <v>17940358597983978</v>
      </c>
      <c r="B1055" t="s">
        <v>837</v>
      </c>
      <c r="C1055" t="s">
        <v>838</v>
      </c>
    </row>
    <row r="1056" spans="1:3" x14ac:dyDescent="0.25">
      <c r="A1056" t="str">
        <f>"17860477628143015"</f>
        <v>17860477628143015</v>
      </c>
      <c r="B1056" t="s">
        <v>839</v>
      </c>
      <c r="C1056" t="s">
        <v>840</v>
      </c>
    </row>
    <row r="1057" spans="1:3" x14ac:dyDescent="0.25">
      <c r="A1057" t="str">
        <f>"17860477628143015"</f>
        <v>17860477628143015</v>
      </c>
      <c r="B1057" t="s">
        <v>839</v>
      </c>
      <c r="C1057" t="s">
        <v>840</v>
      </c>
    </row>
    <row r="1058" spans="1:3" x14ac:dyDescent="0.25">
      <c r="A1058" t="str">
        <f>"17866427219018008"</f>
        <v>17866427219018008</v>
      </c>
      <c r="B1058" t="s">
        <v>841</v>
      </c>
      <c r="C1058" t="s">
        <v>842</v>
      </c>
    </row>
    <row r="1059" spans="1:3" x14ac:dyDescent="0.25">
      <c r="A1059" t="str">
        <f>"17866427219018008"</f>
        <v>17866427219018008</v>
      </c>
      <c r="B1059" t="s">
        <v>841</v>
      </c>
      <c r="C1059" t="s">
        <v>842</v>
      </c>
    </row>
    <row r="1060" spans="1:3" x14ac:dyDescent="0.25">
      <c r="A1060" t="str">
        <f>"17881442200820893"</f>
        <v>17881442200820893</v>
      </c>
      <c r="B1060" t="s">
        <v>768</v>
      </c>
      <c r="C1060" t="s">
        <v>843</v>
      </c>
    </row>
    <row r="1061" spans="1:3" x14ac:dyDescent="0.25">
      <c r="A1061" t="str">
        <f>"17881442200820893"</f>
        <v>17881442200820893</v>
      </c>
      <c r="B1061" t="s">
        <v>768</v>
      </c>
      <c r="C1061" t="s">
        <v>843</v>
      </c>
    </row>
    <row r="1062" spans="1:3" x14ac:dyDescent="0.25">
      <c r="A1062" t="str">
        <f>"17858117756228984"</f>
        <v>17858117756228984</v>
      </c>
      <c r="B1062" t="s">
        <v>844</v>
      </c>
      <c r="C1062" t="s">
        <v>845</v>
      </c>
    </row>
    <row r="1063" spans="1:3" x14ac:dyDescent="0.25">
      <c r="A1063" t="str">
        <f>"17858117756228984"</f>
        <v>17858117756228984</v>
      </c>
      <c r="B1063" t="s">
        <v>844</v>
      </c>
      <c r="C1063" t="s">
        <v>845</v>
      </c>
    </row>
    <row r="1064" spans="1:3" x14ac:dyDescent="0.25">
      <c r="A1064" t="str">
        <f>"18052720036268504"</f>
        <v>18052720036268504</v>
      </c>
      <c r="B1064" t="s">
        <v>846</v>
      </c>
      <c r="C1064" t="s">
        <v>847</v>
      </c>
    </row>
    <row r="1065" spans="1:3" x14ac:dyDescent="0.25">
      <c r="A1065" t="str">
        <f>"17867044313103343"</f>
        <v>17867044313103343</v>
      </c>
      <c r="B1065" t="s">
        <v>846</v>
      </c>
      <c r="C1065" t="s">
        <v>848</v>
      </c>
    </row>
    <row r="1066" spans="1:3" x14ac:dyDescent="0.25">
      <c r="A1066" t="str">
        <f>"17861021972237415"</f>
        <v>17861021972237415</v>
      </c>
      <c r="B1066" t="s">
        <v>849</v>
      </c>
      <c r="C1066" t="s">
        <v>850</v>
      </c>
    </row>
    <row r="1067" spans="1:3" x14ac:dyDescent="0.25">
      <c r="A1067" t="str">
        <f>"17860522574317075"</f>
        <v>17860522574317075</v>
      </c>
      <c r="B1067" t="s">
        <v>851</v>
      </c>
      <c r="C1067" t="s">
        <v>852</v>
      </c>
    </row>
    <row r="1068" spans="1:3" x14ac:dyDescent="0.25">
      <c r="A1068" t="str">
        <f>"17867044313103343"</f>
        <v>17867044313103343</v>
      </c>
      <c r="B1068" t="s">
        <v>846</v>
      </c>
      <c r="C1068" t="s">
        <v>848</v>
      </c>
    </row>
    <row r="1069" spans="1:3" x14ac:dyDescent="0.25">
      <c r="A1069" t="str">
        <f>"17861021972237415"</f>
        <v>17861021972237415</v>
      </c>
      <c r="B1069" t="s">
        <v>849</v>
      </c>
      <c r="C1069" t="s">
        <v>850</v>
      </c>
    </row>
    <row r="1070" spans="1:3" x14ac:dyDescent="0.25">
      <c r="A1070" t="str">
        <f>"17860522574317075"</f>
        <v>17860522574317075</v>
      </c>
      <c r="B1070" t="s">
        <v>851</v>
      </c>
      <c r="C1070" t="s">
        <v>852</v>
      </c>
    </row>
    <row r="1071" spans="1:3" x14ac:dyDescent="0.25">
      <c r="A1071" t="str">
        <f>"17995727671503089"</f>
        <v>17995727671503089</v>
      </c>
      <c r="B1071" t="s">
        <v>853</v>
      </c>
      <c r="C1071" t="s">
        <v>854</v>
      </c>
    </row>
    <row r="1072" spans="1:3" x14ac:dyDescent="0.25">
      <c r="A1072" t="str">
        <f>"17896713994667241"</f>
        <v>17896713994667241</v>
      </c>
      <c r="B1072" t="s">
        <v>855</v>
      </c>
      <c r="C1072" t="s">
        <v>856</v>
      </c>
    </row>
    <row r="1073" spans="1:3" x14ac:dyDescent="0.25">
      <c r="A1073" t="str">
        <f>"17896713994667241"</f>
        <v>17896713994667241</v>
      </c>
      <c r="B1073" t="s">
        <v>855</v>
      </c>
      <c r="C1073" t="s">
        <v>856</v>
      </c>
    </row>
    <row r="1074" spans="1:3" x14ac:dyDescent="0.25">
      <c r="A1074" t="str">
        <f>"18176948584029163"</f>
        <v>18176948584029163</v>
      </c>
      <c r="B1074" t="s">
        <v>768</v>
      </c>
      <c r="C1074" t="s">
        <v>857</v>
      </c>
    </row>
    <row r="1075" spans="1:3" x14ac:dyDescent="0.25">
      <c r="A1075" t="str">
        <f>"18176948584029163"</f>
        <v>18176948584029163</v>
      </c>
      <c r="B1075" t="s">
        <v>768</v>
      </c>
      <c r="C1075" t="s">
        <v>857</v>
      </c>
    </row>
    <row r="1076" spans="1:3" x14ac:dyDescent="0.25">
      <c r="A1076" t="str">
        <f>"18176948584029163"</f>
        <v>18176948584029163</v>
      </c>
      <c r="B1076" t="s">
        <v>768</v>
      </c>
      <c r="C1076" t="s">
        <v>857</v>
      </c>
    </row>
    <row r="1077" spans="1:3" x14ac:dyDescent="0.25">
      <c r="A1077" t="str">
        <f>"17893341145741003"</f>
        <v>17893341145741003</v>
      </c>
      <c r="B1077" t="s">
        <v>768</v>
      </c>
      <c r="C1077" t="s">
        <v>858</v>
      </c>
    </row>
    <row r="1078" spans="1:3" x14ac:dyDescent="0.25">
      <c r="A1078" t="str">
        <f>"17893341145741003"</f>
        <v>17893341145741003</v>
      </c>
      <c r="B1078" t="s">
        <v>768</v>
      </c>
      <c r="C1078" t="s">
        <v>858</v>
      </c>
    </row>
    <row r="1079" spans="1:3" x14ac:dyDescent="0.25">
      <c r="A1079" t="str">
        <f>"17857509782334377"</f>
        <v>17857509782334377</v>
      </c>
      <c r="B1079" t="s">
        <v>768</v>
      </c>
      <c r="C1079" t="s">
        <v>859</v>
      </c>
    </row>
    <row r="1080" spans="1:3" x14ac:dyDescent="0.25">
      <c r="A1080" t="str">
        <f>"17857509782334377"</f>
        <v>17857509782334377</v>
      </c>
      <c r="B1080" t="s">
        <v>768</v>
      </c>
      <c r="C1080" t="s">
        <v>859</v>
      </c>
    </row>
    <row r="1081" spans="1:3" x14ac:dyDescent="0.25">
      <c r="A1081" t="str">
        <f>"17857509782334377"</f>
        <v>17857509782334377</v>
      </c>
      <c r="B1081" t="s">
        <v>768</v>
      </c>
      <c r="C1081" t="s">
        <v>859</v>
      </c>
    </row>
    <row r="1082" spans="1:3" x14ac:dyDescent="0.25">
      <c r="A1082" t="str">
        <f>"18062095303262402"</f>
        <v>18062095303262402</v>
      </c>
      <c r="B1082" t="s">
        <v>860</v>
      </c>
      <c r="C1082" t="s">
        <v>861</v>
      </c>
    </row>
    <row r="1083" spans="1:3" x14ac:dyDescent="0.25">
      <c r="A1083" t="str">
        <f>"18062095303262402"</f>
        <v>18062095303262402</v>
      </c>
      <c r="B1083" t="s">
        <v>860</v>
      </c>
      <c r="C1083" t="s">
        <v>861</v>
      </c>
    </row>
    <row r="1084" spans="1:3" x14ac:dyDescent="0.25">
      <c r="A1084" t="str">
        <f>"17953072996389050"</f>
        <v>17953072996389050</v>
      </c>
      <c r="B1084" t="s">
        <v>795</v>
      </c>
      <c r="C1084" t="s">
        <v>862</v>
      </c>
    </row>
    <row r="1085" spans="1:3" x14ac:dyDescent="0.25">
      <c r="A1085" t="str">
        <f>"17953072996389050"</f>
        <v>17953072996389050</v>
      </c>
      <c r="B1085" t="s">
        <v>795</v>
      </c>
      <c r="C1085" t="s">
        <v>862</v>
      </c>
    </row>
    <row r="1086" spans="1:3" x14ac:dyDescent="0.25">
      <c r="A1086" t="str">
        <f>"17962889003090738"</f>
        <v>17962889003090738</v>
      </c>
      <c r="B1086" t="s">
        <v>863</v>
      </c>
      <c r="C1086" t="s">
        <v>864</v>
      </c>
    </row>
    <row r="1087" spans="1:3" x14ac:dyDescent="0.25">
      <c r="A1087" t="str">
        <f>"17967294416015044"</f>
        <v>17967294416015044</v>
      </c>
      <c r="B1087" t="s">
        <v>865</v>
      </c>
      <c r="C1087" t="s">
        <v>866</v>
      </c>
    </row>
    <row r="1088" spans="1:3" x14ac:dyDescent="0.25">
      <c r="A1088" t="str">
        <f>"17955410843106784"</f>
        <v>17955410843106784</v>
      </c>
      <c r="B1088" t="s">
        <v>867</v>
      </c>
      <c r="C1088" t="s">
        <v>868</v>
      </c>
    </row>
    <row r="1089" spans="1:3" x14ac:dyDescent="0.25">
      <c r="A1089" t="str">
        <f>"18036878134407375"</f>
        <v>18036878134407375</v>
      </c>
      <c r="B1089" t="s">
        <v>869</v>
      </c>
      <c r="C1089" t="s">
        <v>870</v>
      </c>
    </row>
    <row r="1090" spans="1:3" x14ac:dyDescent="0.25">
      <c r="A1090" t="str">
        <f>"17969497678959062"</f>
        <v>17969497678959062</v>
      </c>
      <c r="B1090" t="s">
        <v>871</v>
      </c>
      <c r="C1090" t="s">
        <v>872</v>
      </c>
    </row>
    <row r="1091" spans="1:3" x14ac:dyDescent="0.25">
      <c r="A1091" t="str">
        <f>"18036878134407375"</f>
        <v>18036878134407375</v>
      </c>
      <c r="B1091" t="s">
        <v>869</v>
      </c>
      <c r="C1091" t="s">
        <v>870</v>
      </c>
    </row>
    <row r="1092" spans="1:3" x14ac:dyDescent="0.25">
      <c r="A1092" t="str">
        <f>"17969497678959062"</f>
        <v>17969497678959062</v>
      </c>
      <c r="B1092" t="s">
        <v>871</v>
      </c>
      <c r="C1092" t="s">
        <v>872</v>
      </c>
    </row>
    <row r="1093" spans="1:3" x14ac:dyDescent="0.25">
      <c r="A1093" t="str">
        <f>"17948712578373708"</f>
        <v>17948712578373708</v>
      </c>
      <c r="B1093" t="s">
        <v>873</v>
      </c>
      <c r="C1093" t="s">
        <v>874</v>
      </c>
    </row>
    <row r="1094" spans="1:3" x14ac:dyDescent="0.25">
      <c r="A1094" t="str">
        <f>"17948358539215811"</f>
        <v>17948358539215811</v>
      </c>
      <c r="B1094" t="s">
        <v>875</v>
      </c>
      <c r="C1094" t="s">
        <v>876</v>
      </c>
    </row>
    <row r="1095" spans="1:3" x14ac:dyDescent="0.25">
      <c r="A1095" t="str">
        <f>"17948712578373708"</f>
        <v>17948712578373708</v>
      </c>
      <c r="B1095" t="s">
        <v>873</v>
      </c>
      <c r="C1095" t="s">
        <v>874</v>
      </c>
    </row>
    <row r="1096" spans="1:3" x14ac:dyDescent="0.25">
      <c r="A1096" t="str">
        <f>"17948358539215811"</f>
        <v>17948358539215811</v>
      </c>
      <c r="B1096" t="s">
        <v>875</v>
      </c>
      <c r="C1096" t="s">
        <v>876</v>
      </c>
    </row>
    <row r="1097" spans="1:3" x14ac:dyDescent="0.25">
      <c r="A1097" t="str">
        <f>"17975794252921526"</f>
        <v>17975794252921526</v>
      </c>
      <c r="B1097" t="s">
        <v>877</v>
      </c>
      <c r="C1097" t="s">
        <v>878</v>
      </c>
    </row>
    <row r="1098" spans="1:3" x14ac:dyDescent="0.25">
      <c r="A1098" t="str">
        <f>"17877984005230180"</f>
        <v>17877984005230180</v>
      </c>
      <c r="B1098" t="s">
        <v>879</v>
      </c>
      <c r="C1098" t="s">
        <v>880</v>
      </c>
    </row>
    <row r="1099" spans="1:3" x14ac:dyDescent="0.25">
      <c r="A1099" t="str">
        <f>"17877984005230180"</f>
        <v>17877984005230180</v>
      </c>
      <c r="B1099" t="s">
        <v>879</v>
      </c>
      <c r="C1099" t="s">
        <v>880</v>
      </c>
    </row>
    <row r="1100" spans="1:3" x14ac:dyDescent="0.25">
      <c r="A1100" t="str">
        <f>"17869668218388312"</f>
        <v>17869668218388312</v>
      </c>
      <c r="B1100" t="s">
        <v>881</v>
      </c>
      <c r="C1100" t="s">
        <v>882</v>
      </c>
    </row>
    <row r="1101" spans="1:3" x14ac:dyDescent="0.25">
      <c r="A1101" t="str">
        <f>"17895986870744015"</f>
        <v>17895986870744015</v>
      </c>
      <c r="B1101" t="s">
        <v>883</v>
      </c>
      <c r="C1101" t="s">
        <v>884</v>
      </c>
    </row>
    <row r="1102" spans="1:3" x14ac:dyDescent="0.25">
      <c r="A1102" t="str">
        <f>"18340736905017417"</f>
        <v>18340736905017417</v>
      </c>
      <c r="B1102" t="s">
        <v>885</v>
      </c>
      <c r="C1102" t="s">
        <v>886</v>
      </c>
    </row>
    <row r="1103" spans="1:3" x14ac:dyDescent="0.25">
      <c r="A1103" t="str">
        <f>"18340736905017417"</f>
        <v>18340736905017417</v>
      </c>
      <c r="B1103" t="s">
        <v>885</v>
      </c>
      <c r="C1103" t="s">
        <v>886</v>
      </c>
    </row>
    <row r="1104" spans="1:3" x14ac:dyDescent="0.25">
      <c r="A1104" t="str">
        <f>"17849516255589419"</f>
        <v>17849516255589419</v>
      </c>
      <c r="B1104" t="s">
        <v>887</v>
      </c>
      <c r="C1104" t="s">
        <v>888</v>
      </c>
    </row>
    <row r="1105" spans="1:3" x14ac:dyDescent="0.25">
      <c r="A1105" t="str">
        <f>"17849516255589419"</f>
        <v>17849516255589419</v>
      </c>
      <c r="B1105" t="s">
        <v>887</v>
      </c>
      <c r="C1105" t="s">
        <v>888</v>
      </c>
    </row>
    <row r="1106" spans="1:3" x14ac:dyDescent="0.25">
      <c r="A1106" t="str">
        <f>"17901127490727009"</f>
        <v>17901127490727009</v>
      </c>
      <c r="B1106" t="s">
        <v>889</v>
      </c>
      <c r="C1106" t="s">
        <v>890</v>
      </c>
    </row>
    <row r="1107" spans="1:3" x14ac:dyDescent="0.25">
      <c r="A1107" t="str">
        <f>"17993864557725774"</f>
        <v>17993864557725774</v>
      </c>
      <c r="B1107" t="s">
        <v>891</v>
      </c>
      <c r="C1107" t="s">
        <v>892</v>
      </c>
    </row>
    <row r="1108" spans="1:3" x14ac:dyDescent="0.25">
      <c r="A1108" t="str">
        <f>"18342471100017544"</f>
        <v>18342471100017544</v>
      </c>
      <c r="B1108" t="s">
        <v>893</v>
      </c>
      <c r="C1108" t="s">
        <v>894</v>
      </c>
    </row>
    <row r="1109" spans="1:3" x14ac:dyDescent="0.25">
      <c r="A1109" t="str">
        <f>"17901127490727009"</f>
        <v>17901127490727009</v>
      </c>
      <c r="B1109" t="s">
        <v>889</v>
      </c>
      <c r="C1109" t="s">
        <v>890</v>
      </c>
    </row>
    <row r="1110" spans="1:3" x14ac:dyDescent="0.25">
      <c r="A1110" t="str">
        <f>"17993864557725774"</f>
        <v>17993864557725774</v>
      </c>
      <c r="B1110" t="s">
        <v>891</v>
      </c>
      <c r="C1110" t="s">
        <v>892</v>
      </c>
    </row>
    <row r="1111" spans="1:3" x14ac:dyDescent="0.25">
      <c r="A1111" t="str">
        <f>"18342471100017544"</f>
        <v>18342471100017544</v>
      </c>
      <c r="B1111" t="s">
        <v>893</v>
      </c>
      <c r="C1111" t="s">
        <v>894</v>
      </c>
    </row>
    <row r="1112" spans="1:3" x14ac:dyDescent="0.25">
      <c r="A1112" t="str">
        <f>"17901127490727009"</f>
        <v>17901127490727009</v>
      </c>
      <c r="B1112" t="s">
        <v>889</v>
      </c>
      <c r="C1112" t="s">
        <v>890</v>
      </c>
    </row>
    <row r="1113" spans="1:3" x14ac:dyDescent="0.25">
      <c r="A1113" t="str">
        <f>"17993864557725774"</f>
        <v>17993864557725774</v>
      </c>
      <c r="B1113" t="s">
        <v>891</v>
      </c>
      <c r="C1113" t="s">
        <v>892</v>
      </c>
    </row>
    <row r="1114" spans="1:3" x14ac:dyDescent="0.25">
      <c r="A1114" t="str">
        <f>"18342471100017544"</f>
        <v>18342471100017544</v>
      </c>
      <c r="B1114" t="s">
        <v>893</v>
      </c>
      <c r="C1114" t="s">
        <v>894</v>
      </c>
    </row>
    <row r="1115" spans="1:3" x14ac:dyDescent="0.25">
      <c r="A1115" t="str">
        <f>"17975585194381004"</f>
        <v>17975585194381004</v>
      </c>
      <c r="B1115" t="s">
        <v>3</v>
      </c>
      <c r="C1115" t="s">
        <v>895</v>
      </c>
    </row>
    <row r="1116" spans="1:3" x14ac:dyDescent="0.25">
      <c r="A1116" t="str">
        <f>"17975585194381004"</f>
        <v>17975585194381004</v>
      </c>
      <c r="B1116" t="s">
        <v>3</v>
      </c>
      <c r="C1116" t="s">
        <v>895</v>
      </c>
    </row>
    <row r="1117" spans="1:3" x14ac:dyDescent="0.25">
      <c r="A1117" t="str">
        <f>"17914291291829193"</f>
        <v>17914291291829193</v>
      </c>
      <c r="B1117" t="s">
        <v>896</v>
      </c>
      <c r="C1117" t="s">
        <v>897</v>
      </c>
    </row>
    <row r="1118" spans="1:3" x14ac:dyDescent="0.25">
      <c r="A1118" t="str">
        <f>"17908295264072089"</f>
        <v>17908295264072089</v>
      </c>
      <c r="B1118" t="s">
        <v>898</v>
      </c>
      <c r="C1118" t="s">
        <v>899</v>
      </c>
    </row>
    <row r="1119" spans="1:3" x14ac:dyDescent="0.25">
      <c r="A1119" t="str">
        <f>"18191960491116742"</f>
        <v>18191960491116742</v>
      </c>
      <c r="B1119" t="s">
        <v>900</v>
      </c>
      <c r="C1119" t="s">
        <v>901</v>
      </c>
    </row>
    <row r="1120" spans="1:3" x14ac:dyDescent="0.25">
      <c r="A1120" t="str">
        <f>"17944533499523487"</f>
        <v>17944533499523487</v>
      </c>
      <c r="B1120" t="s">
        <v>902</v>
      </c>
      <c r="C1120" t="s">
        <v>903</v>
      </c>
    </row>
    <row r="1121" spans="1:3" x14ac:dyDescent="0.25">
      <c r="A1121" t="str">
        <f>"17944533499523487"</f>
        <v>17944533499523487</v>
      </c>
      <c r="B1121" t="s">
        <v>902</v>
      </c>
      <c r="C1121" t="s">
        <v>903</v>
      </c>
    </row>
    <row r="1122" spans="1:3" x14ac:dyDescent="0.25">
      <c r="A1122" t="str">
        <f>"18252549118199578"</f>
        <v>18252549118199578</v>
      </c>
      <c r="B1122" t="s">
        <v>904</v>
      </c>
      <c r="C1122" t="s">
        <v>905</v>
      </c>
    </row>
    <row r="1123" spans="1:3" x14ac:dyDescent="0.25">
      <c r="A1123" t="str">
        <f>"18061417753375709"</f>
        <v>18061417753375709</v>
      </c>
      <c r="B1123" t="s">
        <v>906</v>
      </c>
      <c r="C1123" t="s">
        <v>907</v>
      </c>
    </row>
    <row r="1124" spans="1:3" x14ac:dyDescent="0.25">
      <c r="A1124" t="str">
        <f>"17923840660707136"</f>
        <v>17923840660707136</v>
      </c>
      <c r="B1124" t="s">
        <v>908</v>
      </c>
      <c r="C1124" t="s">
        <v>909</v>
      </c>
    </row>
    <row r="1125" spans="1:3" x14ac:dyDescent="0.25">
      <c r="A1125" t="str">
        <f>"17915023315878866"</f>
        <v>17915023315878866</v>
      </c>
      <c r="B1125" t="s">
        <v>910</v>
      </c>
      <c r="C1125" t="s">
        <v>911</v>
      </c>
    </row>
    <row r="1126" spans="1:3" x14ac:dyDescent="0.25">
      <c r="A1126" t="str">
        <f>"17920661959759816"</f>
        <v>17920661959759816</v>
      </c>
      <c r="B1126" t="s">
        <v>881</v>
      </c>
      <c r="C1126" t="s">
        <v>912</v>
      </c>
    </row>
    <row r="1127" spans="1:3" x14ac:dyDescent="0.25">
      <c r="A1127" t="str">
        <f>"17915023315878866"</f>
        <v>17915023315878866</v>
      </c>
      <c r="B1127" t="s">
        <v>910</v>
      </c>
      <c r="C1127" t="s">
        <v>911</v>
      </c>
    </row>
    <row r="1128" spans="1:3" x14ac:dyDescent="0.25">
      <c r="A1128" t="str">
        <f>"17920661959759816"</f>
        <v>17920661959759816</v>
      </c>
      <c r="B1128" t="s">
        <v>881</v>
      </c>
      <c r="C1128" t="s">
        <v>912</v>
      </c>
    </row>
    <row r="1129" spans="1:3" x14ac:dyDescent="0.25">
      <c r="A1129" t="str">
        <f>"17915023315878866"</f>
        <v>17915023315878866</v>
      </c>
      <c r="B1129" t="s">
        <v>910</v>
      </c>
      <c r="C1129" t="s">
        <v>911</v>
      </c>
    </row>
    <row r="1130" spans="1:3" x14ac:dyDescent="0.25">
      <c r="A1130" t="str">
        <f>"17920661959759816"</f>
        <v>17920661959759816</v>
      </c>
      <c r="B1130" t="s">
        <v>881</v>
      </c>
      <c r="C1130" t="s">
        <v>912</v>
      </c>
    </row>
    <row r="1131" spans="1:3" x14ac:dyDescent="0.25">
      <c r="A1131" t="str">
        <f>"17878422953882925"</f>
        <v>17878422953882925</v>
      </c>
      <c r="B1131" t="s">
        <v>913</v>
      </c>
      <c r="C1131" t="s">
        <v>914</v>
      </c>
    </row>
    <row r="1132" spans="1:3" x14ac:dyDescent="0.25">
      <c r="A1132" t="str">
        <f>"17878422953882925"</f>
        <v>17878422953882925</v>
      </c>
      <c r="B1132" t="s">
        <v>913</v>
      </c>
      <c r="C1132" t="s">
        <v>914</v>
      </c>
    </row>
    <row r="1133" spans="1:3" x14ac:dyDescent="0.25">
      <c r="A1133" t="str">
        <f>"17955882058471411"</f>
        <v>17955882058471411</v>
      </c>
      <c r="B1133" t="s">
        <v>915</v>
      </c>
      <c r="C1133" t="s">
        <v>916</v>
      </c>
    </row>
    <row r="1134" spans="1:3" x14ac:dyDescent="0.25">
      <c r="A1134" t="str">
        <f>"17955882058471411"</f>
        <v>17955882058471411</v>
      </c>
      <c r="B1134" t="s">
        <v>915</v>
      </c>
      <c r="C1134" t="s">
        <v>916</v>
      </c>
    </row>
    <row r="1135" spans="1:3" x14ac:dyDescent="0.25">
      <c r="A1135" t="str">
        <f>"17875459121896962"</f>
        <v>17875459121896962</v>
      </c>
      <c r="B1135" t="s">
        <v>917</v>
      </c>
      <c r="C1135" t="s">
        <v>918</v>
      </c>
    </row>
    <row r="1136" spans="1:3" x14ac:dyDescent="0.25">
      <c r="A1136" t="str">
        <f>"17875459121896962"</f>
        <v>17875459121896962</v>
      </c>
      <c r="B1136" t="s">
        <v>917</v>
      </c>
      <c r="C1136" t="s">
        <v>918</v>
      </c>
    </row>
    <row r="1137" spans="1:3" x14ac:dyDescent="0.25">
      <c r="A1137" t="str">
        <f>"17906008753969787"</f>
        <v>17906008753969787</v>
      </c>
      <c r="B1137" t="s">
        <v>919</v>
      </c>
      <c r="C1137" t="s">
        <v>920</v>
      </c>
    </row>
    <row r="1138" spans="1:3" x14ac:dyDescent="0.25">
      <c r="A1138" t="str">
        <f>"17906008753969787"</f>
        <v>17906008753969787</v>
      </c>
      <c r="B1138" t="s">
        <v>919</v>
      </c>
      <c r="C1138" t="s">
        <v>920</v>
      </c>
    </row>
    <row r="1139" spans="1:3" x14ac:dyDescent="0.25">
      <c r="A1139" t="str">
        <f>"17885430362424570"</f>
        <v>17885430362424570</v>
      </c>
      <c r="B1139" t="s">
        <v>921</v>
      </c>
      <c r="C1139" t="s">
        <v>922</v>
      </c>
    </row>
    <row r="1140" spans="1:3" x14ac:dyDescent="0.25">
      <c r="A1140" t="str">
        <f>"17914798114918644"</f>
        <v>17914798114918644</v>
      </c>
      <c r="B1140" t="s">
        <v>923</v>
      </c>
      <c r="C1140" t="s">
        <v>922</v>
      </c>
    </row>
    <row r="1141" spans="1:3" x14ac:dyDescent="0.25">
      <c r="A1141" t="str">
        <f>"18164285878091206"</f>
        <v>18164285878091206</v>
      </c>
      <c r="B1141" t="s">
        <v>924</v>
      </c>
      <c r="C1141" t="s">
        <v>925</v>
      </c>
    </row>
    <row r="1142" spans="1:3" x14ac:dyDescent="0.25">
      <c r="A1142" t="str">
        <f>"17964133696450868"</f>
        <v>17964133696450868</v>
      </c>
      <c r="B1142" t="s">
        <v>926</v>
      </c>
      <c r="C1142" t="s">
        <v>927</v>
      </c>
    </row>
    <row r="1143" spans="1:3" x14ac:dyDescent="0.25">
      <c r="A1143" t="str">
        <f>"18006806461745785"</f>
        <v>18006806461745785</v>
      </c>
      <c r="B1143" t="s">
        <v>928</v>
      </c>
      <c r="C1143" t="s">
        <v>929</v>
      </c>
    </row>
    <row r="1144" spans="1:3" x14ac:dyDescent="0.25">
      <c r="A1144" t="str">
        <f>"17883537165131155"</f>
        <v>17883537165131155</v>
      </c>
      <c r="B1144" t="s">
        <v>930</v>
      </c>
      <c r="C1144" t="s">
        <v>931</v>
      </c>
    </row>
    <row r="1145" spans="1:3" x14ac:dyDescent="0.25">
      <c r="A1145" t="str">
        <f>"18072859600582895"</f>
        <v>18072859600582895</v>
      </c>
      <c r="B1145" t="s">
        <v>932</v>
      </c>
      <c r="C1145" t="s">
        <v>933</v>
      </c>
    </row>
    <row r="1146" spans="1:3" x14ac:dyDescent="0.25">
      <c r="A1146" t="str">
        <f>"18253002268264557"</f>
        <v>18253002268264557</v>
      </c>
      <c r="B1146" t="s">
        <v>934</v>
      </c>
      <c r="C1146" t="s">
        <v>935</v>
      </c>
    </row>
    <row r="1147" spans="1:3" x14ac:dyDescent="0.25">
      <c r="A1147" t="str">
        <f>"18034110083048498"</f>
        <v>18034110083048498</v>
      </c>
      <c r="B1147" t="s">
        <v>936</v>
      </c>
      <c r="C1147" t="s">
        <v>937</v>
      </c>
    </row>
    <row r="1148" spans="1:3" x14ac:dyDescent="0.25">
      <c r="A1148" t="str">
        <f>"17926636985952551"</f>
        <v>17926636985952551</v>
      </c>
      <c r="B1148" t="s">
        <v>938</v>
      </c>
      <c r="C1148" t="s">
        <v>939</v>
      </c>
    </row>
    <row r="1149" spans="1:3" x14ac:dyDescent="0.25">
      <c r="A1149" t="str">
        <f>"18071494492598212"</f>
        <v>18071494492598212</v>
      </c>
      <c r="B1149" t="s">
        <v>940</v>
      </c>
      <c r="C1149" t="s">
        <v>941</v>
      </c>
    </row>
    <row r="1150" spans="1:3" x14ac:dyDescent="0.25">
      <c r="A1150" t="str">
        <f>"18254390023251264"</f>
        <v>18254390023251264</v>
      </c>
      <c r="B1150" t="s">
        <v>942</v>
      </c>
      <c r="C1150" t="s">
        <v>943</v>
      </c>
    </row>
    <row r="1151" spans="1:3" x14ac:dyDescent="0.25">
      <c r="A1151" t="str">
        <f>"18140538988351744"</f>
        <v>18140538988351744</v>
      </c>
      <c r="B1151" t="s">
        <v>944</v>
      </c>
      <c r="C1151" t="s">
        <v>945</v>
      </c>
    </row>
    <row r="1152" spans="1:3" x14ac:dyDescent="0.25">
      <c r="A1152" t="str">
        <f>"18021787025239745"</f>
        <v>18021787025239745</v>
      </c>
      <c r="B1152" t="s">
        <v>946</v>
      </c>
      <c r="C1152" t="s">
        <v>947</v>
      </c>
    </row>
    <row r="1153" spans="1:3" x14ac:dyDescent="0.25">
      <c r="A1153" t="str">
        <f>"17859973335200230"</f>
        <v>17859973335200230</v>
      </c>
      <c r="B1153" t="s">
        <v>948</v>
      </c>
      <c r="C1153" t="s">
        <v>949</v>
      </c>
    </row>
    <row r="1154" spans="1:3" x14ac:dyDescent="0.25">
      <c r="A1154" t="str">
        <f>"17924855603978321"</f>
        <v>17924855603978321</v>
      </c>
      <c r="B1154" t="s">
        <v>950</v>
      </c>
      <c r="C1154" t="s">
        <v>951</v>
      </c>
    </row>
    <row r="1155" spans="1:3" x14ac:dyDescent="0.25">
      <c r="A1155" t="str">
        <f>"18124087513383591"</f>
        <v>18124087513383591</v>
      </c>
      <c r="B1155" t="s">
        <v>952</v>
      </c>
      <c r="C1155" t="s">
        <v>953</v>
      </c>
    </row>
    <row r="1156" spans="1:3" x14ac:dyDescent="0.25">
      <c r="A1156" t="str">
        <f>"18124087513383591"</f>
        <v>18124087513383591</v>
      </c>
      <c r="B1156" t="s">
        <v>952</v>
      </c>
      <c r="C1156" t="s">
        <v>953</v>
      </c>
    </row>
    <row r="1157" spans="1:3" x14ac:dyDescent="0.25">
      <c r="A1157" t="str">
        <f>"18065303944725119"</f>
        <v>18065303944725119</v>
      </c>
      <c r="B1157" t="s">
        <v>954</v>
      </c>
      <c r="C1157" t="s">
        <v>955</v>
      </c>
    </row>
    <row r="1158" spans="1:3" x14ac:dyDescent="0.25">
      <c r="A1158" t="str">
        <f>"18065303944725119"</f>
        <v>18065303944725119</v>
      </c>
      <c r="B1158" t="s">
        <v>954</v>
      </c>
      <c r="C1158" t="s">
        <v>955</v>
      </c>
    </row>
    <row r="1159" spans="1:3" x14ac:dyDescent="0.25">
      <c r="A1159" t="str">
        <f>"17957272097720005"</f>
        <v>17957272097720005</v>
      </c>
      <c r="B1159" t="s">
        <v>956</v>
      </c>
      <c r="C1159" t="s">
        <v>957</v>
      </c>
    </row>
    <row r="1160" spans="1:3" x14ac:dyDescent="0.25">
      <c r="A1160" t="str">
        <f>"18011660870397238"</f>
        <v>18011660870397238</v>
      </c>
      <c r="B1160" t="s">
        <v>958</v>
      </c>
      <c r="C1160" t="s">
        <v>959</v>
      </c>
    </row>
    <row r="1161" spans="1:3" x14ac:dyDescent="0.25">
      <c r="A1161" t="str">
        <f>"18285098143232145"</f>
        <v>18285098143232145</v>
      </c>
      <c r="B1161" t="s">
        <v>960</v>
      </c>
      <c r="C1161" t="s">
        <v>961</v>
      </c>
    </row>
    <row r="1162" spans="1:3" x14ac:dyDescent="0.25">
      <c r="A1162" t="str">
        <f>"17957272097720005"</f>
        <v>17957272097720005</v>
      </c>
      <c r="B1162" t="s">
        <v>956</v>
      </c>
      <c r="C1162" t="s">
        <v>957</v>
      </c>
    </row>
    <row r="1163" spans="1:3" x14ac:dyDescent="0.25">
      <c r="A1163" t="str">
        <f>"18011660870397238"</f>
        <v>18011660870397238</v>
      </c>
      <c r="B1163" t="s">
        <v>958</v>
      </c>
      <c r="C1163" t="s">
        <v>959</v>
      </c>
    </row>
    <row r="1164" spans="1:3" x14ac:dyDescent="0.25">
      <c r="A1164" t="str">
        <f>"18285098143232145"</f>
        <v>18285098143232145</v>
      </c>
      <c r="B1164" t="s">
        <v>960</v>
      </c>
      <c r="C1164" t="s">
        <v>961</v>
      </c>
    </row>
    <row r="1165" spans="1:3" x14ac:dyDescent="0.25">
      <c r="A1165" t="str">
        <f>"18328003726092232"</f>
        <v>18328003726092232</v>
      </c>
      <c r="B1165" t="s">
        <v>962</v>
      </c>
      <c r="C1165" t="s">
        <v>963</v>
      </c>
    </row>
    <row r="1166" spans="1:3" x14ac:dyDescent="0.25">
      <c r="A1166" t="str">
        <f>"18328003726092232"</f>
        <v>18328003726092232</v>
      </c>
      <c r="B1166" t="s">
        <v>962</v>
      </c>
      <c r="C1166" t="s">
        <v>963</v>
      </c>
    </row>
    <row r="1167" spans="1:3" x14ac:dyDescent="0.25">
      <c r="A1167" t="str">
        <f>"18041928917254529"</f>
        <v>18041928917254529</v>
      </c>
      <c r="B1167" t="s">
        <v>964</v>
      </c>
      <c r="C1167" t="s">
        <v>965</v>
      </c>
    </row>
    <row r="1168" spans="1:3" x14ac:dyDescent="0.25">
      <c r="A1168" t="str">
        <f>"17977239785672293"</f>
        <v>17977239785672293</v>
      </c>
      <c r="B1168" t="s">
        <v>722</v>
      </c>
      <c r="C1168" t="s">
        <v>966</v>
      </c>
    </row>
    <row r="1169" spans="1:3" x14ac:dyDescent="0.25">
      <c r="A1169" t="str">
        <f>"18109528027458535"</f>
        <v>18109528027458535</v>
      </c>
      <c r="B1169" t="s">
        <v>967</v>
      </c>
      <c r="C1169" t="s">
        <v>968</v>
      </c>
    </row>
    <row r="1170" spans="1:3" x14ac:dyDescent="0.25">
      <c r="A1170" t="str">
        <f>"18041928917254529"</f>
        <v>18041928917254529</v>
      </c>
      <c r="B1170" t="s">
        <v>964</v>
      </c>
      <c r="C1170" t="s">
        <v>965</v>
      </c>
    </row>
    <row r="1171" spans="1:3" x14ac:dyDescent="0.25">
      <c r="A1171" t="str">
        <f>"17977239785672293"</f>
        <v>17977239785672293</v>
      </c>
      <c r="B1171" t="s">
        <v>722</v>
      </c>
      <c r="C1171" t="s">
        <v>966</v>
      </c>
    </row>
    <row r="1172" spans="1:3" x14ac:dyDescent="0.25">
      <c r="A1172" t="str">
        <f>"18109528027458535"</f>
        <v>18109528027458535</v>
      </c>
      <c r="B1172" t="s">
        <v>967</v>
      </c>
      <c r="C1172" t="s">
        <v>968</v>
      </c>
    </row>
    <row r="1173" spans="1:3" x14ac:dyDescent="0.25">
      <c r="A1173" t="str">
        <f>"18294041455214819"</f>
        <v>18294041455214819</v>
      </c>
      <c r="B1173" t="s">
        <v>969</v>
      </c>
      <c r="C1173" t="s">
        <v>970</v>
      </c>
    </row>
    <row r="1174" spans="1:3" x14ac:dyDescent="0.25">
      <c r="A1174" t="str">
        <f>"18089785927540941"</f>
        <v>18089785927540941</v>
      </c>
      <c r="B1174" t="s">
        <v>971</v>
      </c>
      <c r="C1174" t="s">
        <v>972</v>
      </c>
    </row>
    <row r="1175" spans="1:3" x14ac:dyDescent="0.25">
      <c r="A1175" t="str">
        <f>"17888653833190428"</f>
        <v>17888653833190428</v>
      </c>
      <c r="B1175" t="s">
        <v>973</v>
      </c>
      <c r="C1175" t="s">
        <v>974</v>
      </c>
    </row>
    <row r="1176" spans="1:3" x14ac:dyDescent="0.25">
      <c r="A1176" t="str">
        <f>"18119830825382488"</f>
        <v>18119830825382488</v>
      </c>
      <c r="B1176" t="s">
        <v>975</v>
      </c>
      <c r="C1176" t="s">
        <v>976</v>
      </c>
    </row>
    <row r="1177" spans="1:3" x14ac:dyDescent="0.25">
      <c r="A1177" t="str">
        <f>"17888653833190428"</f>
        <v>17888653833190428</v>
      </c>
      <c r="B1177" t="s">
        <v>973</v>
      </c>
      <c r="C1177" t="s">
        <v>974</v>
      </c>
    </row>
    <row r="1178" spans="1:3" x14ac:dyDescent="0.25">
      <c r="A1178" t="str">
        <f>"18119830825382488"</f>
        <v>18119830825382488</v>
      </c>
      <c r="B1178" t="s">
        <v>975</v>
      </c>
      <c r="C1178" t="s">
        <v>976</v>
      </c>
    </row>
    <row r="1179" spans="1:3" x14ac:dyDescent="0.25">
      <c r="A1179" t="str">
        <f>"17995522202598552"</f>
        <v>17995522202598552</v>
      </c>
      <c r="B1179" t="s">
        <v>971</v>
      </c>
      <c r="C1179" t="s">
        <v>977</v>
      </c>
    </row>
    <row r="1180" spans="1:3" x14ac:dyDescent="0.25">
      <c r="A1180" t="str">
        <f>"17995522202598552"</f>
        <v>17995522202598552</v>
      </c>
      <c r="B1180" t="s">
        <v>971</v>
      </c>
      <c r="C1180" t="s">
        <v>977</v>
      </c>
    </row>
    <row r="1181" spans="1:3" x14ac:dyDescent="0.25">
      <c r="A1181" t="str">
        <f>"18092112727469718"</f>
        <v>18092112727469718</v>
      </c>
      <c r="B1181" t="s">
        <v>978</v>
      </c>
      <c r="C1181" t="s">
        <v>979</v>
      </c>
    </row>
    <row r="1182" spans="1:3" x14ac:dyDescent="0.25">
      <c r="A1182" t="str">
        <f>"18092112727469718"</f>
        <v>18092112727469718</v>
      </c>
      <c r="B1182" t="s">
        <v>978</v>
      </c>
      <c r="C1182" t="s">
        <v>979</v>
      </c>
    </row>
    <row r="1183" spans="1:3" x14ac:dyDescent="0.25">
      <c r="A1183" t="str">
        <f>"18073179742673411"</f>
        <v>18073179742673411</v>
      </c>
      <c r="B1183" t="s">
        <v>980</v>
      </c>
      <c r="C1183" t="s">
        <v>981</v>
      </c>
    </row>
    <row r="1184" spans="1:3" x14ac:dyDescent="0.25">
      <c r="A1184" t="str">
        <f>"18073179742673411"</f>
        <v>18073179742673411</v>
      </c>
      <c r="B1184" t="s">
        <v>980</v>
      </c>
      <c r="C1184" t="s">
        <v>981</v>
      </c>
    </row>
    <row r="1185" spans="1:3" x14ac:dyDescent="0.25">
      <c r="A1185" t="str">
        <f>"18073179742673411"</f>
        <v>18073179742673411</v>
      </c>
      <c r="B1185" t="s">
        <v>980</v>
      </c>
      <c r="C1185" t="s">
        <v>981</v>
      </c>
    </row>
    <row r="1186" spans="1:3" x14ac:dyDescent="0.25">
      <c r="A1186" t="str">
        <f>"18300623293227348"</f>
        <v>18300623293227348</v>
      </c>
      <c r="B1186" t="s">
        <v>982</v>
      </c>
      <c r="C1186" t="s">
        <v>983</v>
      </c>
    </row>
    <row r="1187" spans="1:3" x14ac:dyDescent="0.25">
      <c r="A1187" t="str">
        <f>"18117899245437121"</f>
        <v>18117899245437121</v>
      </c>
      <c r="B1187" t="s">
        <v>971</v>
      </c>
      <c r="C1187" t="s">
        <v>984</v>
      </c>
    </row>
    <row r="1188" spans="1:3" x14ac:dyDescent="0.25">
      <c r="A1188" t="str">
        <f>"18034596839578409"</f>
        <v>18034596839578409</v>
      </c>
      <c r="B1188" t="s">
        <v>985</v>
      </c>
      <c r="C1188" t="s">
        <v>986</v>
      </c>
    </row>
    <row r="1189" spans="1:3" x14ac:dyDescent="0.25">
      <c r="A1189" t="str">
        <f>"17942185154959285"</f>
        <v>17942185154959285</v>
      </c>
      <c r="B1189" t="s">
        <v>987</v>
      </c>
      <c r="C1189" t="s">
        <v>988</v>
      </c>
    </row>
    <row r="1190" spans="1:3" x14ac:dyDescent="0.25">
      <c r="A1190" t="str">
        <f>"18036185630381862"</f>
        <v>18036185630381862</v>
      </c>
      <c r="B1190" t="s">
        <v>989</v>
      </c>
      <c r="C1190" t="s">
        <v>990</v>
      </c>
    </row>
    <row r="1191" spans="1:3" x14ac:dyDescent="0.25">
      <c r="A1191" t="str">
        <f>"18018017345477940"</f>
        <v>18018017345477940</v>
      </c>
      <c r="B1191" t="s">
        <v>991</v>
      </c>
      <c r="C1191" t="s">
        <v>992</v>
      </c>
    </row>
    <row r="1192" spans="1:3" x14ac:dyDescent="0.25">
      <c r="A1192" t="str">
        <f>"18311125585206247"</f>
        <v>18311125585206247</v>
      </c>
      <c r="B1192" t="s">
        <v>993</v>
      </c>
      <c r="C1192" t="s">
        <v>994</v>
      </c>
    </row>
    <row r="1193" spans="1:3" x14ac:dyDescent="0.25">
      <c r="A1193" t="str">
        <f>"18050942924145908"</f>
        <v>18050942924145908</v>
      </c>
      <c r="B1193" t="s">
        <v>995</v>
      </c>
      <c r="C1193" t="s">
        <v>996</v>
      </c>
    </row>
    <row r="1194" spans="1:3" x14ac:dyDescent="0.25">
      <c r="A1194" t="str">
        <f>"17996571641594340"</f>
        <v>17996571641594340</v>
      </c>
      <c r="B1194" t="s">
        <v>997</v>
      </c>
      <c r="C1194" t="s">
        <v>998</v>
      </c>
    </row>
    <row r="1195" spans="1:3" x14ac:dyDescent="0.25">
      <c r="A1195" t="str">
        <f>"18043251890363854"</f>
        <v>18043251890363854</v>
      </c>
      <c r="B1195" t="s">
        <v>999</v>
      </c>
      <c r="C1195" t="s">
        <v>1000</v>
      </c>
    </row>
    <row r="1196" spans="1:3" x14ac:dyDescent="0.25">
      <c r="A1196" t="str">
        <f>"18129930943393048"</f>
        <v>18129930943393048</v>
      </c>
      <c r="B1196" t="s">
        <v>1001</v>
      </c>
      <c r="C1196" t="s">
        <v>1002</v>
      </c>
    </row>
    <row r="1197" spans="1:3" x14ac:dyDescent="0.25">
      <c r="A1197" t="str">
        <f>"18500630401054827"</f>
        <v>18500630401054827</v>
      </c>
      <c r="B1197" t="s">
        <v>1003</v>
      </c>
      <c r="C1197" t="s">
        <v>1004</v>
      </c>
    </row>
    <row r="1198" spans="1:3" x14ac:dyDescent="0.25">
      <c r="A1198" t="str">
        <f>"18374120335138649"</f>
        <v>18374120335138649</v>
      </c>
      <c r="B1198" t="s">
        <v>285</v>
      </c>
      <c r="C1198" t="s">
        <v>1005</v>
      </c>
    </row>
    <row r="1199" spans="1:3" x14ac:dyDescent="0.25">
      <c r="A1199" t="str">
        <f>"18374120335138649"</f>
        <v>18374120335138649</v>
      </c>
      <c r="B1199" t="s">
        <v>285</v>
      </c>
      <c r="C1199" t="s">
        <v>1005</v>
      </c>
    </row>
    <row r="1200" spans="1:3" x14ac:dyDescent="0.25">
      <c r="A1200" t="str">
        <f>"17952299810945909"</f>
        <v>17952299810945909</v>
      </c>
      <c r="B1200" t="s">
        <v>1006</v>
      </c>
      <c r="C1200" t="s">
        <v>1007</v>
      </c>
    </row>
    <row r="1201" spans="1:3" x14ac:dyDescent="0.25">
      <c r="A1201" t="str">
        <f>"18171745501329222"</f>
        <v>18171745501329222</v>
      </c>
      <c r="B1201" t="s">
        <v>1008</v>
      </c>
      <c r="C1201" t="s">
        <v>1009</v>
      </c>
    </row>
    <row r="1202" spans="1:3" x14ac:dyDescent="0.25">
      <c r="A1202" t="str">
        <f>"17946349796990531"</f>
        <v>17946349796990531</v>
      </c>
      <c r="B1202" t="s">
        <v>1010</v>
      </c>
      <c r="C1202" t="s">
        <v>1011</v>
      </c>
    </row>
    <row r="1203" spans="1:3" x14ac:dyDescent="0.25">
      <c r="A1203" t="str">
        <f>"18005425139766216"</f>
        <v>18005425139766216</v>
      </c>
      <c r="B1203" t="s">
        <v>1012</v>
      </c>
      <c r="C1203" t="s">
        <v>1013</v>
      </c>
    </row>
    <row r="1204" spans="1:3" x14ac:dyDescent="0.25">
      <c r="A1204" t="str">
        <f>"18005425139766216"</f>
        <v>18005425139766216</v>
      </c>
      <c r="B1204" t="s">
        <v>1012</v>
      </c>
      <c r="C1204" t="s">
        <v>1013</v>
      </c>
    </row>
    <row r="1205" spans="1:3" x14ac:dyDescent="0.25">
      <c r="A1205" t="str">
        <f>"17971879901828928"</f>
        <v>17971879901828928</v>
      </c>
      <c r="B1205" t="s">
        <v>1014</v>
      </c>
      <c r="C1205" t="s">
        <v>1015</v>
      </c>
    </row>
    <row r="1206" spans="1:3" x14ac:dyDescent="0.25">
      <c r="A1206" t="str">
        <f>"17994762839731079"</f>
        <v>17994762839731079</v>
      </c>
      <c r="B1206" t="s">
        <v>1016</v>
      </c>
      <c r="C1206" t="s">
        <v>1017</v>
      </c>
    </row>
    <row r="1207" spans="1:3" x14ac:dyDescent="0.25">
      <c r="A1207" t="str">
        <f>"18078635092808746"</f>
        <v>18078635092808746</v>
      </c>
      <c r="B1207" t="s">
        <v>1018</v>
      </c>
      <c r="C1207" t="s">
        <v>1019</v>
      </c>
    </row>
    <row r="1208" spans="1:3" x14ac:dyDescent="0.25">
      <c r="A1208" t="str">
        <f>"18011152529551546"</f>
        <v>18011152529551546</v>
      </c>
      <c r="B1208" t="s">
        <v>1020</v>
      </c>
      <c r="C1208" t="s">
        <v>1021</v>
      </c>
    </row>
    <row r="1209" spans="1:3" x14ac:dyDescent="0.25">
      <c r="A1209" t="str">
        <f>"18078635092808746"</f>
        <v>18078635092808746</v>
      </c>
      <c r="B1209" t="s">
        <v>1018</v>
      </c>
      <c r="C1209" t="s">
        <v>1019</v>
      </c>
    </row>
    <row r="1210" spans="1:3" x14ac:dyDescent="0.25">
      <c r="A1210" t="str">
        <f>"18011152529551546"</f>
        <v>18011152529551546</v>
      </c>
      <c r="B1210" t="s">
        <v>1020</v>
      </c>
      <c r="C1210" t="s">
        <v>1021</v>
      </c>
    </row>
    <row r="1211" spans="1:3" x14ac:dyDescent="0.25">
      <c r="A1211" t="str">
        <f>"18065809517000066"</f>
        <v>18065809517000066</v>
      </c>
      <c r="B1211" t="s">
        <v>1018</v>
      </c>
      <c r="C1211" t="s">
        <v>1022</v>
      </c>
    </row>
    <row r="1212" spans="1:3" x14ac:dyDescent="0.25">
      <c r="A1212" t="str">
        <f>"17958290309800379"</f>
        <v>17958290309800379</v>
      </c>
      <c r="B1212" t="s">
        <v>978</v>
      </c>
      <c r="C1212" t="s">
        <v>1023</v>
      </c>
    </row>
    <row r="1213" spans="1:3" x14ac:dyDescent="0.25">
      <c r="A1213" t="str">
        <f>"17934949146014032"</f>
        <v>17934949146014032</v>
      </c>
      <c r="B1213" t="s">
        <v>1024</v>
      </c>
      <c r="C1213" t="s">
        <v>1025</v>
      </c>
    </row>
    <row r="1214" spans="1:3" x14ac:dyDescent="0.25">
      <c r="A1214" t="str">
        <f>"17923217382067837"</f>
        <v>17923217382067837</v>
      </c>
      <c r="B1214" t="s">
        <v>1026</v>
      </c>
      <c r="C1214" t="s">
        <v>1027</v>
      </c>
    </row>
    <row r="1215" spans="1:3" x14ac:dyDescent="0.25">
      <c r="A1215" t="str">
        <f>"17923217382067837"</f>
        <v>17923217382067837</v>
      </c>
      <c r="B1215" t="s">
        <v>1026</v>
      </c>
      <c r="C1215" t="s">
        <v>1027</v>
      </c>
    </row>
    <row r="1216" spans="1:3" x14ac:dyDescent="0.25">
      <c r="A1216" t="str">
        <f>"17916645375140217"</f>
        <v>17916645375140217</v>
      </c>
      <c r="B1216" t="s">
        <v>1028</v>
      </c>
      <c r="C1216" t="s">
        <v>1029</v>
      </c>
    </row>
    <row r="1217" spans="1:3" x14ac:dyDescent="0.25">
      <c r="A1217" t="str">
        <f>"18065992253173653"</f>
        <v>18065992253173653</v>
      </c>
      <c r="B1217" t="s">
        <v>1030</v>
      </c>
      <c r="C1217" t="s">
        <v>1031</v>
      </c>
    </row>
    <row r="1218" spans="1:3" x14ac:dyDescent="0.25">
      <c r="A1218" t="str">
        <f>"18145551871402124"</f>
        <v>18145551871402124</v>
      </c>
      <c r="B1218" t="s">
        <v>372</v>
      </c>
      <c r="C1218" t="s">
        <v>1032</v>
      </c>
    </row>
    <row r="1219" spans="1:3" x14ac:dyDescent="0.25">
      <c r="A1219" t="str">
        <f>"18061276805019793"</f>
        <v>18061276805019793</v>
      </c>
      <c r="B1219" t="s">
        <v>1033</v>
      </c>
      <c r="C1219" t="s">
        <v>1034</v>
      </c>
    </row>
    <row r="1220" spans="1:3" x14ac:dyDescent="0.25">
      <c r="A1220" t="str">
        <f>"17987335088833841"</f>
        <v>17987335088833841</v>
      </c>
      <c r="B1220" t="s">
        <v>1018</v>
      </c>
      <c r="C1220" t="s">
        <v>1035</v>
      </c>
    </row>
    <row r="1221" spans="1:3" x14ac:dyDescent="0.25">
      <c r="A1221" t="str">
        <f>"17987335088833841"</f>
        <v>17987335088833841</v>
      </c>
      <c r="B1221" t="s">
        <v>1018</v>
      </c>
      <c r="C1221" t="s">
        <v>1035</v>
      </c>
    </row>
    <row r="1222" spans="1:3" x14ac:dyDescent="0.25">
      <c r="A1222" t="str">
        <f>"17987335088833841"</f>
        <v>17987335088833841</v>
      </c>
      <c r="B1222" t="s">
        <v>1018</v>
      </c>
      <c r="C1222" t="s">
        <v>1035</v>
      </c>
    </row>
    <row r="1223" spans="1:3" x14ac:dyDescent="0.25">
      <c r="A1223" t="str">
        <f>"18141184744416815"</f>
        <v>18141184744416815</v>
      </c>
      <c r="B1223" t="s">
        <v>1036</v>
      </c>
      <c r="C1223" t="s">
        <v>1037</v>
      </c>
    </row>
    <row r="1224" spans="1:3" x14ac:dyDescent="0.25">
      <c r="A1224" t="str">
        <f>"18037130555439177"</f>
        <v>18037130555439177</v>
      </c>
      <c r="B1224" t="s">
        <v>1038</v>
      </c>
      <c r="C1224" t="s">
        <v>1039</v>
      </c>
    </row>
    <row r="1225" spans="1:3" x14ac:dyDescent="0.25">
      <c r="A1225" t="str">
        <f>"18037130555439177"</f>
        <v>18037130555439177</v>
      </c>
      <c r="B1225" t="s">
        <v>1038</v>
      </c>
      <c r="C1225" t="s">
        <v>1039</v>
      </c>
    </row>
    <row r="1226" spans="1:3" x14ac:dyDescent="0.25">
      <c r="A1226" t="str">
        <f>"18095865283839488"</f>
        <v>18095865283839488</v>
      </c>
      <c r="B1226" t="s">
        <v>1040</v>
      </c>
      <c r="C1226" t="s">
        <v>1041</v>
      </c>
    </row>
    <row r="1227" spans="1:3" x14ac:dyDescent="0.25">
      <c r="A1227" t="str">
        <f>"18095865283839488"</f>
        <v>18095865283839488</v>
      </c>
      <c r="B1227" t="s">
        <v>1040</v>
      </c>
      <c r="C1227" t="s">
        <v>1041</v>
      </c>
    </row>
    <row r="1228" spans="1:3" x14ac:dyDescent="0.25">
      <c r="A1228" t="str">
        <f>"18095865283839488"</f>
        <v>18095865283839488</v>
      </c>
      <c r="B1228" t="s">
        <v>1040</v>
      </c>
      <c r="C1228" t="s">
        <v>1041</v>
      </c>
    </row>
    <row r="1229" spans="1:3" x14ac:dyDescent="0.25">
      <c r="A1229" t="str">
        <f>"18284521282283560"</f>
        <v>18284521282283560</v>
      </c>
      <c r="B1229" t="s">
        <v>469</v>
      </c>
      <c r="C1229" t="s">
        <v>1042</v>
      </c>
    </row>
    <row r="1230" spans="1:3" x14ac:dyDescent="0.25">
      <c r="A1230" t="str">
        <f>"17971080560791474"</f>
        <v>17971080560791474</v>
      </c>
      <c r="B1230" t="s">
        <v>1043</v>
      </c>
      <c r="C1230" t="s">
        <v>1044</v>
      </c>
    </row>
    <row r="1231" spans="1:3" x14ac:dyDescent="0.25">
      <c r="A1231" t="str">
        <f>"17899988373161411"</f>
        <v>17899988373161411</v>
      </c>
      <c r="B1231" t="s">
        <v>1045</v>
      </c>
      <c r="C1231" t="s">
        <v>1046</v>
      </c>
    </row>
    <row r="1232" spans="1:3" x14ac:dyDescent="0.25">
      <c r="A1232" t="str">
        <f>"18332447092236730"</f>
        <v>18332447092236730</v>
      </c>
      <c r="B1232" t="s">
        <v>829</v>
      </c>
      <c r="C1232" t="s">
        <v>1047</v>
      </c>
    </row>
    <row r="1233" spans="1:3" x14ac:dyDescent="0.25">
      <c r="A1233" t="str">
        <f>"17872692393552442"</f>
        <v>17872692393552442</v>
      </c>
      <c r="B1233" t="s">
        <v>1048</v>
      </c>
      <c r="C1233" t="s">
        <v>1049</v>
      </c>
    </row>
    <row r="1234" spans="1:3" x14ac:dyDescent="0.25">
      <c r="A1234" t="str">
        <f>"18039107357785965"</f>
        <v>18039107357785965</v>
      </c>
      <c r="B1234" t="s">
        <v>1050</v>
      </c>
      <c r="C1234" t="s">
        <v>1051</v>
      </c>
    </row>
    <row r="1235" spans="1:3" x14ac:dyDescent="0.25">
      <c r="A1235" t="str">
        <f>"17842991586659927"</f>
        <v>17842991586659927</v>
      </c>
      <c r="B1235" t="s">
        <v>1052</v>
      </c>
      <c r="C1235" t="s">
        <v>1053</v>
      </c>
    </row>
    <row r="1236" spans="1:3" x14ac:dyDescent="0.25">
      <c r="A1236" t="str">
        <f>"17900138769338011"</f>
        <v>17900138769338011</v>
      </c>
      <c r="B1236" t="s">
        <v>1054</v>
      </c>
      <c r="C1236" t="s">
        <v>1055</v>
      </c>
    </row>
    <row r="1237" spans="1:3" x14ac:dyDescent="0.25">
      <c r="A1237" t="str">
        <f>"17912911650248951"</f>
        <v>17912911650248951</v>
      </c>
      <c r="B1237" t="s">
        <v>372</v>
      </c>
      <c r="C1237" t="s">
        <v>1056</v>
      </c>
    </row>
    <row r="1238" spans="1:3" x14ac:dyDescent="0.25">
      <c r="A1238" t="str">
        <f>"18565096318057003"</f>
        <v>18565096318057003</v>
      </c>
      <c r="B1238" t="s">
        <v>1057</v>
      </c>
      <c r="C1238" t="s">
        <v>1058</v>
      </c>
    </row>
    <row r="1239" spans="1:3" x14ac:dyDescent="0.25">
      <c r="A1239" t="str">
        <f>"18104096308829848"</f>
        <v>18104096308829848</v>
      </c>
      <c r="B1239" t="s">
        <v>1059</v>
      </c>
      <c r="C1239" t="s">
        <v>1060</v>
      </c>
    </row>
    <row r="1240" spans="1:3" x14ac:dyDescent="0.25">
      <c r="A1240" t="str">
        <f>"18086895853915373"</f>
        <v>18086895853915373</v>
      </c>
      <c r="B1240" t="s">
        <v>1061</v>
      </c>
      <c r="C1240" t="s">
        <v>1062</v>
      </c>
    </row>
    <row r="1241" spans="1:3" x14ac:dyDescent="0.25">
      <c r="A1241" t="str">
        <f>"17919000684255256"</f>
        <v>17919000684255256</v>
      </c>
      <c r="B1241" t="s">
        <v>1063</v>
      </c>
      <c r="C1241" t="s">
        <v>1064</v>
      </c>
    </row>
    <row r="1242" spans="1:3" x14ac:dyDescent="0.25">
      <c r="A1242" t="str">
        <f>"18564112708033304"</f>
        <v>18564112708033304</v>
      </c>
      <c r="B1242" t="s">
        <v>1065</v>
      </c>
      <c r="C1242" t="s">
        <v>1066</v>
      </c>
    </row>
    <row r="1243" spans="1:3" x14ac:dyDescent="0.25">
      <c r="A1243" t="str">
        <f>"18531903475070961"</f>
        <v>18531903475070961</v>
      </c>
      <c r="B1243" t="s">
        <v>1067</v>
      </c>
      <c r="C1243" t="s">
        <v>1068</v>
      </c>
    </row>
    <row r="1244" spans="1:3" x14ac:dyDescent="0.25">
      <c r="A1244" t="str">
        <f>"18015125267817743"</f>
        <v>18015125267817743</v>
      </c>
      <c r="B1244" t="s">
        <v>1069</v>
      </c>
      <c r="C1244" t="s">
        <v>1070</v>
      </c>
    </row>
    <row r="1245" spans="1:3" x14ac:dyDescent="0.25">
      <c r="A1245" t="str">
        <f>"17927011680227960"</f>
        <v>17927011680227960</v>
      </c>
      <c r="B1245" t="s">
        <v>1071</v>
      </c>
      <c r="C1245" t="s">
        <v>1072</v>
      </c>
    </row>
    <row r="1246" spans="1:3" x14ac:dyDescent="0.25">
      <c r="A1246" t="str">
        <f>"18100496635733404"</f>
        <v>18100496635733404</v>
      </c>
      <c r="B1246" t="s">
        <v>1073</v>
      </c>
      <c r="C1246" t="s">
        <v>1074</v>
      </c>
    </row>
    <row r="1247" spans="1:3" x14ac:dyDescent="0.25">
      <c r="A1247" t="str">
        <f>"18057729020416826"</f>
        <v>18057729020416826</v>
      </c>
      <c r="B1247" t="s">
        <v>1075</v>
      </c>
      <c r="C1247" t="s">
        <v>1076</v>
      </c>
    </row>
    <row r="1248" spans="1:3" x14ac:dyDescent="0.25">
      <c r="A1248" t="str">
        <f>"18095554684817263"</f>
        <v>18095554684817263</v>
      </c>
      <c r="B1248" t="s">
        <v>1077</v>
      </c>
      <c r="C1248" t="s">
        <v>1078</v>
      </c>
    </row>
    <row r="1249" spans="1:3" x14ac:dyDescent="0.25">
      <c r="A1249" t="str">
        <f>"17969795844032936"</f>
        <v>17969795844032936</v>
      </c>
      <c r="B1249" t="s">
        <v>1079</v>
      </c>
      <c r="C1249" t="s">
        <v>1080</v>
      </c>
    </row>
    <row r="1250" spans="1:3" x14ac:dyDescent="0.25">
      <c r="A1250" t="str">
        <f>"18190050916358035"</f>
        <v>18190050916358035</v>
      </c>
      <c r="B1250" t="s">
        <v>1081</v>
      </c>
      <c r="C1250" t="s">
        <v>1082</v>
      </c>
    </row>
    <row r="1251" spans="1:3" x14ac:dyDescent="0.25">
      <c r="A1251" t="str">
        <f>"18087012586959201"</f>
        <v>18087012586959201</v>
      </c>
      <c r="B1251" t="s">
        <v>1083</v>
      </c>
      <c r="C1251" t="s">
        <v>1084</v>
      </c>
    </row>
    <row r="1252" spans="1:3" x14ac:dyDescent="0.25">
      <c r="A1252" t="str">
        <f>"18109840675802204"</f>
        <v>18109840675802204</v>
      </c>
      <c r="B1252" t="s">
        <v>1085</v>
      </c>
      <c r="C1252" t="s">
        <v>1086</v>
      </c>
    </row>
    <row r="1253" spans="1:3" x14ac:dyDescent="0.25">
      <c r="A1253" t="str">
        <f>"18148120486415070"</f>
        <v>18148120486415070</v>
      </c>
      <c r="B1253" t="s">
        <v>1087</v>
      </c>
      <c r="C1253" t="s">
        <v>1088</v>
      </c>
    </row>
    <row r="1254" spans="1:3" x14ac:dyDescent="0.25">
      <c r="A1254" t="str">
        <f>"17877479454412088"</f>
        <v>17877479454412088</v>
      </c>
      <c r="B1254" t="s">
        <v>1089</v>
      </c>
      <c r="C1254" t="s">
        <v>1090</v>
      </c>
    </row>
    <row r="1255" spans="1:3" x14ac:dyDescent="0.25">
      <c r="A1255" t="str">
        <f>"17859208368562755"</f>
        <v>17859208368562755</v>
      </c>
      <c r="B1255" t="s">
        <v>1091</v>
      </c>
      <c r="C1255" t="s">
        <v>1092</v>
      </c>
    </row>
    <row r="1256" spans="1:3" x14ac:dyDescent="0.25">
      <c r="A1256" t="str">
        <f>"18158653198433320"</f>
        <v>18158653198433320</v>
      </c>
      <c r="B1256" t="s">
        <v>1093</v>
      </c>
      <c r="C1256" t="s">
        <v>1094</v>
      </c>
    </row>
    <row r="1257" spans="1:3" x14ac:dyDescent="0.25">
      <c r="A1257" t="str">
        <f>"18090405893140487"</f>
        <v>18090405893140487</v>
      </c>
      <c r="B1257" t="s">
        <v>1075</v>
      </c>
      <c r="C1257" t="s">
        <v>1095</v>
      </c>
    </row>
    <row r="1258" spans="1:3" x14ac:dyDescent="0.25">
      <c r="A1258" t="str">
        <f>"18441985375112122"</f>
        <v>18441985375112122</v>
      </c>
      <c r="B1258" t="s">
        <v>1096</v>
      </c>
      <c r="C1258" t="s">
        <v>1097</v>
      </c>
    </row>
    <row r="1259" spans="1:3" x14ac:dyDescent="0.25">
      <c r="A1259" t="str">
        <f>"17907211989383062"</f>
        <v>17907211989383062</v>
      </c>
      <c r="B1259" t="s">
        <v>1098</v>
      </c>
      <c r="C1259" t="s">
        <v>1099</v>
      </c>
    </row>
    <row r="1260" spans="1:3" x14ac:dyDescent="0.25">
      <c r="A1260" t="str">
        <f>"17915993082300770"</f>
        <v>17915993082300770</v>
      </c>
      <c r="B1260" t="s">
        <v>1100</v>
      </c>
      <c r="C1260" t="s">
        <v>1101</v>
      </c>
    </row>
    <row r="1261" spans="1:3" x14ac:dyDescent="0.25">
      <c r="A1261" t="str">
        <f>"18076014893134733"</f>
        <v>18076014893134733</v>
      </c>
      <c r="B1261" t="s">
        <v>1102</v>
      </c>
      <c r="C1261" t="s">
        <v>1103</v>
      </c>
    </row>
    <row r="1262" spans="1:3" x14ac:dyDescent="0.25">
      <c r="A1262" t="str">
        <f>"17877945030519316"</f>
        <v>17877945030519316</v>
      </c>
      <c r="B1262" t="s">
        <v>1104</v>
      </c>
      <c r="C1262" t="s">
        <v>1105</v>
      </c>
    </row>
    <row r="1263" spans="1:3" x14ac:dyDescent="0.25">
      <c r="A1263" t="str">
        <f>"18051097745496432"</f>
        <v>18051097745496432</v>
      </c>
      <c r="B1263" t="s">
        <v>1106</v>
      </c>
      <c r="C1263" t="s">
        <v>1107</v>
      </c>
    </row>
    <row r="1264" spans="1:3" x14ac:dyDescent="0.25">
      <c r="A1264" t="str">
        <f>"18451399243105162"</f>
        <v>18451399243105162</v>
      </c>
      <c r="B1264" t="s">
        <v>1108</v>
      </c>
      <c r="C1264" t="s">
        <v>1109</v>
      </c>
    </row>
    <row r="1265" spans="1:3" x14ac:dyDescent="0.25">
      <c r="A1265" t="str">
        <f>"18076301849396646"</f>
        <v>18076301849396646</v>
      </c>
      <c r="B1265" t="s">
        <v>1110</v>
      </c>
      <c r="C1265" t="s">
        <v>1111</v>
      </c>
    </row>
    <row r="1266" spans="1:3" x14ac:dyDescent="0.25">
      <c r="A1266" t="str">
        <f>"17975370978006184"</f>
        <v>17975370978006184</v>
      </c>
      <c r="B1266" t="s">
        <v>1112</v>
      </c>
      <c r="C1266" t="s">
        <v>1113</v>
      </c>
    </row>
    <row r="1267" spans="1:3" x14ac:dyDescent="0.25">
      <c r="A1267" t="str">
        <f>"17942471864999202"</f>
        <v>17942471864999202</v>
      </c>
      <c r="B1267" t="s">
        <v>1114</v>
      </c>
      <c r="C1267" t="s">
        <v>1115</v>
      </c>
    </row>
    <row r="1268" spans="1:3" x14ac:dyDescent="0.25">
      <c r="A1268" t="str">
        <f>"17909996478365093"</f>
        <v>17909996478365093</v>
      </c>
      <c r="B1268" t="s">
        <v>1116</v>
      </c>
      <c r="C1268" t="s">
        <v>1117</v>
      </c>
    </row>
    <row r="1269" spans="1:3" x14ac:dyDescent="0.25">
      <c r="A1269" t="str">
        <f>"18132341551543159"</f>
        <v>18132341551543159</v>
      </c>
      <c r="B1269" t="s">
        <v>1118</v>
      </c>
      <c r="C1269" t="s">
        <v>1119</v>
      </c>
    </row>
    <row r="1270" spans="1:3" x14ac:dyDescent="0.25">
      <c r="A1270" t="str">
        <f>"17958102827935836"</f>
        <v>17958102827935836</v>
      </c>
      <c r="B1270" t="s">
        <v>1120</v>
      </c>
      <c r="C1270" t="s">
        <v>1121</v>
      </c>
    </row>
    <row r="1271" spans="1:3" x14ac:dyDescent="0.25">
      <c r="A1271" t="str">
        <f>"18066662327377835"</f>
        <v>18066662327377835</v>
      </c>
      <c r="B1271" t="s">
        <v>1122</v>
      </c>
      <c r="C1271" t="s">
        <v>1123</v>
      </c>
    </row>
    <row r="1272" spans="1:3" x14ac:dyDescent="0.25">
      <c r="A1272" t="str">
        <f>"18156708622449004"</f>
        <v>18156708622449004</v>
      </c>
      <c r="B1272" t="s">
        <v>1124</v>
      </c>
      <c r="C1272" t="s">
        <v>1125</v>
      </c>
    </row>
    <row r="1273" spans="1:3" x14ac:dyDescent="0.25">
      <c r="A1273" t="str">
        <f>"18090799843897769"</f>
        <v>18090799843897769</v>
      </c>
      <c r="B1273" t="s">
        <v>1126</v>
      </c>
      <c r="C1273" t="s">
        <v>1127</v>
      </c>
    </row>
    <row r="1274" spans="1:3" x14ac:dyDescent="0.25">
      <c r="A1274" t="str">
        <f>"18057093944474060"</f>
        <v>18057093944474060</v>
      </c>
      <c r="B1274" t="s">
        <v>285</v>
      </c>
      <c r="C1274" t="s">
        <v>1128</v>
      </c>
    </row>
    <row r="1275" spans="1:3" x14ac:dyDescent="0.25">
      <c r="A1275" t="str">
        <f>"17969576514043150"</f>
        <v>17969576514043150</v>
      </c>
      <c r="B1275" t="s">
        <v>1129</v>
      </c>
      <c r="C1275" t="s">
        <v>1130</v>
      </c>
    </row>
    <row r="1276" spans="1:3" x14ac:dyDescent="0.25">
      <c r="A1276" t="str">
        <f>"18195514273347149"</f>
        <v>18195514273347149</v>
      </c>
      <c r="B1276" t="s">
        <v>1131</v>
      </c>
      <c r="C1276" t="s">
        <v>1132</v>
      </c>
    </row>
    <row r="1277" spans="1:3" x14ac:dyDescent="0.25">
      <c r="A1277" t="str">
        <f>"17867864169506019"</f>
        <v>17867864169506019</v>
      </c>
      <c r="B1277" t="s">
        <v>1133</v>
      </c>
      <c r="C1277" t="s">
        <v>1134</v>
      </c>
    </row>
    <row r="1278" spans="1:3" x14ac:dyDescent="0.25">
      <c r="A1278" t="str">
        <f>"18368063263204878"</f>
        <v>18368063263204878</v>
      </c>
      <c r="B1278" t="s">
        <v>1135</v>
      </c>
      <c r="C1278" t="s">
        <v>1136</v>
      </c>
    </row>
    <row r="1279" spans="1:3" x14ac:dyDescent="0.25">
      <c r="A1279" t="str">
        <f>"18573627181061444"</f>
        <v>18573627181061444</v>
      </c>
      <c r="B1279" t="s">
        <v>1137</v>
      </c>
      <c r="C1279" t="s">
        <v>1138</v>
      </c>
    </row>
    <row r="1280" spans="1:3" x14ac:dyDescent="0.25">
      <c r="A1280" t="str">
        <f>"18146580193488014"</f>
        <v>18146580193488014</v>
      </c>
      <c r="B1280" t="s">
        <v>1139</v>
      </c>
      <c r="C1280" t="s">
        <v>1140</v>
      </c>
    </row>
    <row r="1281" spans="1:3" x14ac:dyDescent="0.25">
      <c r="A1281" t="str">
        <f>"18087104486350859"</f>
        <v>18087104486350859</v>
      </c>
      <c r="B1281" t="s">
        <v>1141</v>
      </c>
      <c r="C1281" t="s">
        <v>1142</v>
      </c>
    </row>
    <row r="1282" spans="1:3" x14ac:dyDescent="0.25">
      <c r="A1282" t="str">
        <f>"18091960718332588"</f>
        <v>18091960718332588</v>
      </c>
      <c r="B1282" t="s">
        <v>285</v>
      </c>
      <c r="C1282" t="s">
        <v>1143</v>
      </c>
    </row>
    <row r="1283" spans="1:3" x14ac:dyDescent="0.25">
      <c r="A1283" t="str">
        <f>"18107450056871973"</f>
        <v>18107450056871973</v>
      </c>
      <c r="B1283" t="s">
        <v>1144</v>
      </c>
      <c r="C1283" t="s">
        <v>1145</v>
      </c>
    </row>
    <row r="1284" spans="1:3" x14ac:dyDescent="0.25">
      <c r="A1284" t="str">
        <f>"18095794544102579"</f>
        <v>18095794544102579</v>
      </c>
      <c r="B1284" t="s">
        <v>1146</v>
      </c>
      <c r="C1284" t="s">
        <v>1147</v>
      </c>
    </row>
    <row r="1285" spans="1:3" x14ac:dyDescent="0.25">
      <c r="A1285" t="str">
        <f>"18085379669525936"</f>
        <v>18085379669525936</v>
      </c>
      <c r="B1285" t="s">
        <v>1148</v>
      </c>
      <c r="C1285" t="s">
        <v>1149</v>
      </c>
    </row>
    <row r="1286" spans="1:3" x14ac:dyDescent="0.25">
      <c r="A1286" t="str">
        <f>"18096371264072856"</f>
        <v>18096371264072856</v>
      </c>
      <c r="B1286" t="s">
        <v>1150</v>
      </c>
      <c r="C1286" t="s">
        <v>1151</v>
      </c>
    </row>
    <row r="1287" spans="1:3" x14ac:dyDescent="0.25">
      <c r="A1287" t="str">
        <f>"17864902659535003"</f>
        <v>17864902659535003</v>
      </c>
      <c r="B1287" t="s">
        <v>1152</v>
      </c>
      <c r="C1287" t="s">
        <v>1153</v>
      </c>
    </row>
    <row r="1288" spans="1:3" x14ac:dyDescent="0.25">
      <c r="A1288" t="str">
        <f>"17876260794432879"</f>
        <v>17876260794432879</v>
      </c>
      <c r="B1288" t="s">
        <v>1154</v>
      </c>
      <c r="C1288" t="s">
        <v>1155</v>
      </c>
    </row>
    <row r="1289" spans="1:3" x14ac:dyDescent="0.25">
      <c r="A1289" t="str">
        <f>"17956130136106260"</f>
        <v>17956130136106260</v>
      </c>
      <c r="B1289" t="s">
        <v>1156</v>
      </c>
      <c r="C1289" t="s">
        <v>1157</v>
      </c>
    </row>
    <row r="1290" spans="1:3" x14ac:dyDescent="0.25">
      <c r="A1290" t="str">
        <f>"17986538450970740"</f>
        <v>17986538450970740</v>
      </c>
      <c r="B1290" t="s">
        <v>1158</v>
      </c>
      <c r="C1290" t="s">
        <v>1159</v>
      </c>
    </row>
    <row r="1291" spans="1:3" x14ac:dyDescent="0.25">
      <c r="A1291" t="str">
        <f>"18076477649413671"</f>
        <v>18076477649413671</v>
      </c>
      <c r="B1291" t="s">
        <v>1160</v>
      </c>
      <c r="C1291" t="s">
        <v>1161</v>
      </c>
    </row>
    <row r="1292" spans="1:3" x14ac:dyDescent="0.25">
      <c r="A1292" t="str">
        <f>"18128165752570473"</f>
        <v>18128165752570473</v>
      </c>
      <c r="B1292" t="s">
        <v>1162</v>
      </c>
      <c r="C1292" t="s">
        <v>1163</v>
      </c>
    </row>
    <row r="1293" spans="1:3" x14ac:dyDescent="0.25">
      <c r="A1293" t="str">
        <f>"17988396797950741"</f>
        <v>17988396797950741</v>
      </c>
      <c r="B1293" t="s">
        <v>1164</v>
      </c>
      <c r="C1293" t="s">
        <v>1165</v>
      </c>
    </row>
    <row r="1294" spans="1:3" x14ac:dyDescent="0.25">
      <c r="A1294" t="str">
        <f>"18099724180960605"</f>
        <v>18099724180960605</v>
      </c>
      <c r="B1294" t="s">
        <v>1166</v>
      </c>
      <c r="C1294" t="s">
        <v>1167</v>
      </c>
    </row>
    <row r="1295" spans="1:3" x14ac:dyDescent="0.25">
      <c r="A1295" t="str">
        <f>"17986538450970740"</f>
        <v>17986538450970740</v>
      </c>
      <c r="B1295" t="s">
        <v>1158</v>
      </c>
      <c r="C1295" t="s">
        <v>1159</v>
      </c>
    </row>
    <row r="1296" spans="1:3" x14ac:dyDescent="0.25">
      <c r="A1296" t="str">
        <f>"18076477649413671"</f>
        <v>18076477649413671</v>
      </c>
      <c r="B1296" t="s">
        <v>1160</v>
      </c>
      <c r="C1296" t="s">
        <v>1161</v>
      </c>
    </row>
    <row r="1297" spans="1:3" x14ac:dyDescent="0.25">
      <c r="A1297" t="str">
        <f>"18128165752570473"</f>
        <v>18128165752570473</v>
      </c>
      <c r="B1297" t="s">
        <v>1162</v>
      </c>
      <c r="C1297" t="s">
        <v>1163</v>
      </c>
    </row>
    <row r="1298" spans="1:3" x14ac:dyDescent="0.25">
      <c r="A1298" t="str">
        <f>"17988396797950741"</f>
        <v>17988396797950741</v>
      </c>
      <c r="B1298" t="s">
        <v>1164</v>
      </c>
      <c r="C1298" t="s">
        <v>1165</v>
      </c>
    </row>
    <row r="1299" spans="1:3" x14ac:dyDescent="0.25">
      <c r="A1299" t="str">
        <f>"18099724180960605"</f>
        <v>18099724180960605</v>
      </c>
      <c r="B1299" t="s">
        <v>1166</v>
      </c>
      <c r="C1299" t="s">
        <v>1167</v>
      </c>
    </row>
    <row r="1300" spans="1:3" x14ac:dyDescent="0.25">
      <c r="A1300" t="str">
        <f>"18077368583428983"</f>
        <v>18077368583428983</v>
      </c>
      <c r="B1300" t="s">
        <v>1168</v>
      </c>
      <c r="C1300" t="s">
        <v>1169</v>
      </c>
    </row>
    <row r="1301" spans="1:3" x14ac:dyDescent="0.25">
      <c r="A1301" t="str">
        <f>"18100195907094443"</f>
        <v>18100195907094443</v>
      </c>
      <c r="B1301" t="s">
        <v>1170</v>
      </c>
      <c r="C1301" t="s">
        <v>1171</v>
      </c>
    </row>
    <row r="1302" spans="1:3" x14ac:dyDescent="0.25">
      <c r="A1302" t="str">
        <f>"18591337837029316"</f>
        <v>18591337837029316</v>
      </c>
      <c r="B1302" t="s">
        <v>1172</v>
      </c>
      <c r="C1302" t="s">
        <v>1173</v>
      </c>
    </row>
    <row r="1303" spans="1:3" x14ac:dyDescent="0.25">
      <c r="A1303" t="str">
        <f>"18163216225422396"</f>
        <v>18163216225422396</v>
      </c>
      <c r="B1303" t="s">
        <v>1174</v>
      </c>
      <c r="C1303" t="s">
        <v>1175</v>
      </c>
    </row>
    <row r="1304" spans="1:3" x14ac:dyDescent="0.25">
      <c r="A1304" t="str">
        <f>"18116592304655079"</f>
        <v>18116592304655079</v>
      </c>
      <c r="B1304" t="s">
        <v>1176</v>
      </c>
      <c r="C1304" t="s">
        <v>1177</v>
      </c>
    </row>
    <row r="1305" spans="1:3" x14ac:dyDescent="0.25">
      <c r="A1305" t="str">
        <f>"18045066929728442"</f>
        <v>18045066929728442</v>
      </c>
      <c r="C1305" t="s">
        <v>1178</v>
      </c>
    </row>
    <row r="1306" spans="1:3" x14ac:dyDescent="0.25">
      <c r="A1306" t="str">
        <f>"18148561216481319"</f>
        <v>18148561216481319</v>
      </c>
      <c r="B1306" t="s">
        <v>1179</v>
      </c>
      <c r="C1306" t="s">
        <v>1180</v>
      </c>
    </row>
    <row r="1307" spans="1:3" x14ac:dyDescent="0.25">
      <c r="A1307" t="str">
        <f>"17882680245491058"</f>
        <v>17882680245491058</v>
      </c>
      <c r="B1307" t="s">
        <v>1181</v>
      </c>
      <c r="C1307" t="s">
        <v>1182</v>
      </c>
    </row>
    <row r="1308" spans="1:3" x14ac:dyDescent="0.25">
      <c r="A1308" t="str">
        <f>"18136358023518086"</f>
        <v>18136358023518086</v>
      </c>
      <c r="B1308" t="s">
        <v>1183</v>
      </c>
      <c r="C1308" t="s">
        <v>1184</v>
      </c>
    </row>
    <row r="1309" spans="1:3" x14ac:dyDescent="0.25">
      <c r="A1309" t="str">
        <f>"17973470264853104"</f>
        <v>17973470264853104</v>
      </c>
      <c r="B1309" t="s">
        <v>1185</v>
      </c>
      <c r="C1309" t="s">
        <v>1186</v>
      </c>
    </row>
    <row r="1310" spans="1:3" x14ac:dyDescent="0.25">
      <c r="A1310" t="str">
        <f>"18120152539620296"</f>
        <v>18120152539620296</v>
      </c>
      <c r="C1310" t="s">
        <v>1187</v>
      </c>
    </row>
    <row r="1311" spans="1:3" x14ac:dyDescent="0.25">
      <c r="A1311" t="str">
        <f>"17917010844326761"</f>
        <v>17917010844326761</v>
      </c>
      <c r="B1311" t="s">
        <v>1188</v>
      </c>
      <c r="C1311" t="s">
        <v>1189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Mídia Consulte Artes</cp:lastModifiedBy>
  <dcterms:created xsi:type="dcterms:W3CDTF">2026-04-06T05:35:37Z</dcterms:created>
  <dcterms:modified xsi:type="dcterms:W3CDTF">2026-04-27T21:55:42Z</dcterms:modified>
</cp:coreProperties>
</file>